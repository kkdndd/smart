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기능_강원심층수" sheetId="2" state="visible" r:id="rId4"/>
    <sheet name="기능_대교D&amp;S" sheetId="3" state="visible" r:id="rId5"/>
    <sheet name="업무흐름_전략수립" sheetId="4" state="visible" r:id="rId6"/>
    <sheet name="확인항목" sheetId="5" state="visible" r:id="rId7"/>
    <sheet name="결함목록" sheetId="6" state="visible" r:id="rId8"/>
    <sheet name="진행현황" sheetId="7" state="visible" r:id="rId9"/>
    <sheet name="단위테스트(자동)" sheetId="8" state="visible" r:id="rId10"/>
  </sheets>
  <definedNames>
    <definedName function="false" hidden="true" localSheetId="5" name="_xlnm._FilterDatabase" vbProcedure="false">결함목록!$A$2:$J$43</definedName>
    <definedName function="false" hidden="true" localSheetId="4" name="_xlnm._FilterDatabase" vbProcedure="false">확인항목!$A$2:$J$157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<sst xmlns="http://schemas.openxmlformats.org/spreadsheetml/2006/main" count="1477" uniqueCount="597">
  <si>
    <r>
      <rPr>
        <b val="true"/>
        <sz val="16"/>
        <color rgb="FF1D1D1F"/>
        <rFont val="Noto Sans CJK SC"/>
        <family val="2"/>
      </rPr>
      <t xml:space="preserve">대교홀딩스 </t>
    </r>
    <r>
      <rPr>
        <b val="true"/>
        <sz val="16"/>
        <color rgb="FF1D1D1F"/>
        <rFont val="맑은 고딕"/>
        <family val="0"/>
        <charset val="1"/>
      </rPr>
      <t xml:space="preserve">SMART </t>
    </r>
    <r>
      <rPr>
        <b val="true"/>
        <sz val="16"/>
        <color rgb="FF1D1D1F"/>
        <rFont val="Noto Sans CJK SC"/>
        <family val="2"/>
      </rPr>
      <t xml:space="preserve">사업계획 관리 — 개편 검증 테스트</t>
    </r>
  </si>
  <si>
    <r>
      <rPr>
        <sz val="9"/>
        <color rgb="FF6E6E73"/>
        <rFont val="Noto Sans CJK SC"/>
        <family val="2"/>
      </rPr>
      <t xml:space="preserve">작성일 </t>
    </r>
    <r>
      <rPr>
        <sz val="9"/>
        <color rgb="FF6E6E73"/>
        <rFont val="맑은 고딕"/>
        <family val="0"/>
        <charset val="1"/>
      </rPr>
      <t xml:space="preserve">2026-10-29 · </t>
    </r>
    <r>
      <rPr>
        <sz val="9"/>
        <color rgb="FF6E6E73"/>
        <rFont val="Noto Sans CJK SC"/>
        <family val="2"/>
      </rPr>
      <t xml:space="preserve">테스터 </t>
    </r>
    <r>
      <rPr>
        <sz val="9"/>
        <color rgb="FF6E6E73"/>
        <rFont val="맑은 고딕"/>
        <family val="0"/>
        <charset val="1"/>
      </rPr>
      <t xml:space="preserve">2</t>
    </r>
    <r>
      <rPr>
        <sz val="9"/>
        <color rgb="FF6E6E73"/>
        <rFont val="Noto Sans CJK SC"/>
        <family val="2"/>
      </rPr>
      <t xml:space="preserve">명 </t>
    </r>
    <r>
      <rPr>
        <sz val="9"/>
        <color rgb="FF6E6E73"/>
        <rFont val="맑은 고딕"/>
        <family val="0"/>
        <charset val="1"/>
      </rPr>
      <t xml:space="preserve">· </t>
    </r>
    <r>
      <rPr>
        <sz val="9"/>
        <color rgb="FF6E6E73"/>
        <rFont val="Noto Sans CJK SC"/>
        <family val="2"/>
      </rPr>
      <t xml:space="preserve">기능 </t>
    </r>
    <r>
      <rPr>
        <sz val="9"/>
        <color rgb="FF6E6E73"/>
        <rFont val="맑은 고딕"/>
        <family val="0"/>
        <charset val="1"/>
      </rPr>
      <t xml:space="preserve">20</t>
    </r>
    <r>
      <rPr>
        <sz val="9"/>
        <color rgb="FF6E6E73"/>
        <rFont val="Noto Sans CJK SC"/>
        <family val="2"/>
      </rPr>
      <t xml:space="preserve">건 </t>
    </r>
    <r>
      <rPr>
        <sz val="9"/>
        <color rgb="FF6E6E73"/>
        <rFont val="맑은 고딕"/>
        <family val="0"/>
        <charset val="1"/>
      </rPr>
      <t xml:space="preserve">+ </t>
    </r>
    <r>
      <rPr>
        <sz val="9"/>
        <color rgb="FF6E6E73"/>
        <rFont val="Noto Sans CJK SC"/>
        <family val="2"/>
      </rPr>
      <t xml:space="preserve">업무 흐름 </t>
    </r>
    <r>
      <rPr>
        <sz val="9"/>
        <color rgb="FF6E6E73"/>
        <rFont val="맑은 고딕"/>
        <family val="0"/>
        <charset val="1"/>
      </rPr>
      <t xml:space="preserve">6</t>
    </r>
    <r>
      <rPr>
        <sz val="9"/>
        <color rgb="FF6E6E73"/>
        <rFont val="Noto Sans CJK SC"/>
        <family val="2"/>
      </rPr>
      <t xml:space="preserve">건</t>
    </r>
  </si>
  <si>
    <t xml:space="preserve">목적</t>
  </si>
  <si>
    <r>
      <rPr>
        <sz val="10"/>
        <color rgb="FF1D1D1F"/>
        <rFont val="맑은 고딕"/>
        <family val="0"/>
        <charset val="1"/>
      </rPr>
      <t xml:space="preserve">UI/UX</t>
    </r>
    <r>
      <rPr>
        <sz val="10"/>
        <color rgb="FF1D1D1F"/>
        <rFont val="Noto Sans CJK SC"/>
        <family val="2"/>
      </rPr>
      <t xml:space="preserve">와 기능이 대폭 개편되었습니다</t>
    </r>
    <r>
      <rPr>
        <sz val="10"/>
        <color rgb="FF1D1D1F"/>
        <rFont val="맑은 고딕"/>
        <family val="0"/>
        <charset val="1"/>
      </rPr>
      <t xml:space="preserve">. </t>
    </r>
    <r>
      <rPr>
        <sz val="10"/>
        <color rgb="FF1D1D1F"/>
        <rFont val="Noto Sans CJK SC"/>
        <family val="2"/>
      </rPr>
      <t xml:space="preserve">개편된 부분이 의도대로 동작하는지 담당자 </t>
    </r>
    <r>
      <rPr>
        <sz val="10"/>
        <color rgb="FF1D1D1F"/>
        <rFont val="맑은 고딕"/>
        <family val="0"/>
        <charset val="1"/>
      </rPr>
      <t xml:space="preserve">2</t>
    </r>
    <r>
      <rPr>
        <sz val="10"/>
        <color rgb="FF1D1D1F"/>
        <rFont val="Noto Sans CJK SC"/>
        <family val="2"/>
      </rPr>
      <t xml:space="preserve">명이 나눠서 직접 확인합니다</t>
    </r>
    <r>
      <rPr>
        <sz val="10"/>
        <color rgb="FF1D1D1F"/>
        <rFont val="맑은 고딕"/>
        <family val="0"/>
        <charset val="1"/>
      </rPr>
      <t xml:space="preserve">.</t>
    </r>
  </si>
  <si>
    <t xml:space="preserve">두 종류의 테스트</t>
  </si>
  <si>
    <r>
      <rPr>
        <sz val="10"/>
        <color rgb="FF1D1D1F"/>
        <rFont val="Noto Sans CJK SC"/>
        <family val="2"/>
      </rPr>
      <t xml:space="preserve">① 기능 확인 </t>
    </r>
    <r>
      <rPr>
        <sz val="10"/>
        <color rgb="FF1D1D1F"/>
        <rFont val="맑은 고딕"/>
        <family val="0"/>
        <charset val="1"/>
      </rPr>
      <t xml:space="preserve">(1</t>
    </r>
    <r>
      <rPr>
        <sz val="10"/>
        <color rgb="FF1D1D1F"/>
        <rFont val="Noto Sans CJK SC"/>
        <family val="2"/>
      </rPr>
      <t xml:space="preserve">인 </t>
    </r>
    <r>
      <rPr>
        <sz val="10"/>
        <color rgb="FF1D1D1F"/>
        <rFont val="맑은 고딕"/>
        <family val="0"/>
        <charset val="1"/>
      </rPr>
      <t xml:space="preserve">10</t>
    </r>
    <r>
      <rPr>
        <sz val="10"/>
        <color rgb="FF1D1D1F"/>
        <rFont val="Noto Sans CJK SC"/>
        <family val="2"/>
      </rPr>
      <t xml:space="preserve">건</t>
    </r>
    <r>
      <rPr>
        <sz val="10"/>
        <color rgb="FF1D1D1F"/>
        <rFont val="맑은 고딕"/>
        <family val="0"/>
        <charset val="1"/>
      </rPr>
      <t xml:space="preserve">) — </t>
    </r>
    <r>
      <rPr>
        <sz val="10"/>
        <color rgb="FF1D1D1F"/>
        <rFont val="Noto Sans CJK SC"/>
        <family val="2"/>
      </rPr>
      <t xml:space="preserve">화면 하나하나가 제대로 동작하는지 봅니다</t>
    </r>
    <r>
      <rPr>
        <sz val="10"/>
        <color rgb="FF1D1D1F"/>
        <rFont val="맑은 고딕"/>
        <family val="0"/>
        <charset val="1"/>
      </rPr>
      <t xml:space="preserve">. </t>
    </r>
    <r>
      <rPr>
        <sz val="10"/>
        <color rgb="FF1D1D1F"/>
        <rFont val="Noto Sans CJK SC"/>
        <family val="2"/>
      </rPr>
      <t xml:space="preserve">짧게 끊어서 진행합니다</t>
    </r>
    <r>
      <rPr>
        <sz val="10"/>
        <color rgb="FF1D1D1F"/>
        <rFont val="맑은 고딕"/>
        <family val="0"/>
        <charset val="1"/>
      </rPr>
      <t xml:space="preserve">.
② 업무 흐름 (1</t>
    </r>
    <r>
      <rPr>
        <sz val="10"/>
        <color rgb="FF1D1D1F"/>
        <rFont val="Noto Sans CJK SC"/>
        <family val="2"/>
      </rPr>
      <t xml:space="preserve">인 </t>
    </r>
    <r>
      <rPr>
        <sz val="10"/>
        <color rgb="FF1D1D1F"/>
        <rFont val="맑은 고딕"/>
        <family val="0"/>
        <charset val="1"/>
      </rPr>
      <t xml:space="preserve">3</t>
    </r>
    <r>
      <rPr>
        <sz val="10"/>
        <color rgb="FF1D1D1F"/>
        <rFont val="Noto Sans CJK SC"/>
        <family val="2"/>
      </rPr>
      <t xml:space="preserve">건</t>
    </r>
    <r>
      <rPr>
        <sz val="10"/>
        <color rgb="FF1D1D1F"/>
        <rFont val="맑은 고딕"/>
        <family val="0"/>
        <charset val="1"/>
      </rPr>
      <t xml:space="preserve">) — </t>
    </r>
    <r>
      <rPr>
        <sz val="10"/>
        <color rgb="FF1D1D1F"/>
        <rFont val="Noto Sans CJK SC"/>
        <family val="2"/>
      </rPr>
      <t xml:space="preserve">전략을 세우고 → </t>
    </r>
    <r>
      <rPr>
        <sz val="10"/>
        <color rgb="FF1D1D1F"/>
        <rFont val="맑은 고딕"/>
        <family val="0"/>
        <charset val="1"/>
      </rPr>
      <t xml:space="preserve">SMART</t>
    </r>
    <r>
      <rPr>
        <sz val="10"/>
        <color rgb="FF1D1D1F"/>
        <rFont val="Noto Sans CJK SC"/>
        <family val="2"/>
      </rPr>
      <t xml:space="preserve">로 쓰고 → </t>
    </r>
    <r>
      <rPr>
        <sz val="10"/>
        <color rgb="FF1D1D1F"/>
        <rFont val="맑은 고딕"/>
        <family val="0"/>
        <charset val="1"/>
      </rPr>
      <t xml:space="preserve">KPI</t>
    </r>
    <r>
      <rPr>
        <sz val="10"/>
        <color rgb="FF1D1D1F"/>
        <rFont val="Noto Sans CJK SC"/>
        <family val="2"/>
      </rPr>
      <t xml:space="preserve">를 정하고 → 측정 규칙을 만드는
    일련의 과정을 실제 업무처럼 한 번에 돌려봅니다</t>
    </r>
    <r>
      <rPr>
        <sz val="10"/>
        <color rgb="FF1D1D1F"/>
        <rFont val="맑은 고딕"/>
        <family val="0"/>
        <charset val="1"/>
      </rPr>
      <t xml:space="preserve">. </t>
    </r>
    <r>
      <rPr>
        <sz val="10"/>
        <color rgb="FF1D1D1F"/>
        <rFont val="Noto Sans CJK SC"/>
        <family val="2"/>
      </rPr>
      <t xml:space="preserve">세 건이 이어지는 한 번의 업무입니다</t>
    </r>
    <r>
      <rPr>
        <sz val="10"/>
        <color rgb="FF1D1D1F"/>
        <rFont val="맑은 고딕"/>
        <family val="0"/>
        <charset val="1"/>
      </rPr>
      <t xml:space="preserve">.
</t>
    </r>
    <r>
      <rPr>
        <sz val="10"/>
        <color rgb="FF1D1D1F"/>
        <rFont val="Noto Sans CJK SC"/>
        <family val="2"/>
      </rPr>
      <t xml:space="preserve">먼저 ①을 끝내고 ②로 가는 편이 좋습니다</t>
    </r>
    <r>
      <rPr>
        <sz val="10"/>
        <color rgb="FF1D1D1F"/>
        <rFont val="맑은 고딕"/>
        <family val="0"/>
        <charset val="1"/>
      </rPr>
      <t xml:space="preserve">. </t>
    </r>
    <r>
      <rPr>
        <sz val="10"/>
        <color rgb="FF1D1D1F"/>
        <rFont val="Noto Sans CJK SC"/>
        <family val="2"/>
      </rPr>
      <t xml:space="preserve">화면에 익숙해진 상태에서 업무 흐름을 봐야 내용에 집중할 수 있습니다</t>
    </r>
    <r>
      <rPr>
        <sz val="10"/>
        <color rgb="FF1D1D1F"/>
        <rFont val="맑은 고딕"/>
        <family val="0"/>
        <charset val="1"/>
      </rPr>
      <t xml:space="preserve">.</t>
    </r>
  </si>
  <si>
    <t xml:space="preserve">담당 배정</t>
  </si>
  <si>
    <r>
      <rPr>
        <sz val="10"/>
        <color rgb="FF1D1D1F"/>
        <rFont val="Noto Sans CJK SC"/>
        <family val="2"/>
      </rPr>
      <t xml:space="preserve">류원준 대리 </t>
    </r>
    <r>
      <rPr>
        <sz val="10"/>
        <color rgb="FF1D1D1F"/>
        <rFont val="맑은 고딕"/>
        <family val="0"/>
        <charset val="1"/>
      </rPr>
      <t xml:space="preserve">(</t>
    </r>
    <r>
      <rPr>
        <sz val="10"/>
        <color rgb="FF1D1D1F"/>
        <rFont val="Noto Sans CJK SC"/>
        <family val="2"/>
      </rPr>
      <t xml:space="preserve">강원심층수</t>
    </r>
    <r>
      <rPr>
        <sz val="10"/>
        <color rgb="FF1D1D1F"/>
        <rFont val="맑은 고딕"/>
        <family val="0"/>
        <charset val="1"/>
      </rPr>
      <t xml:space="preserve">) → </t>
    </r>
    <r>
      <rPr>
        <sz val="10"/>
        <color rgb="FF1D1D1F"/>
        <rFont val="Noto Sans CJK SC"/>
        <family val="2"/>
      </rPr>
      <t xml:space="preserve">기능 </t>
    </r>
    <r>
      <rPr>
        <sz val="10"/>
        <color rgb="FF1D1D1F"/>
        <rFont val="맑은 고딕"/>
        <family val="0"/>
        <charset val="1"/>
      </rPr>
      <t xml:space="preserve">KW-01~KW-10  ·  </t>
    </r>
    <r>
      <rPr>
        <sz val="10"/>
        <color rgb="FF1D1D1F"/>
        <rFont val="Noto Sans CJK SC"/>
        <family val="2"/>
      </rPr>
      <t xml:space="preserve">업무 </t>
    </r>
    <r>
      <rPr>
        <sz val="10"/>
        <color rgb="FF1D1D1F"/>
        <rFont val="맑은 고딕"/>
        <family val="0"/>
        <charset val="1"/>
      </rPr>
      <t xml:space="preserve">WK-01~WK-03
</t>
    </r>
    <r>
      <rPr>
        <sz val="10"/>
        <color rgb="FF1D1D1F"/>
        <rFont val="Noto Sans CJK SC"/>
        <family val="2"/>
      </rPr>
      <t xml:space="preserve">장민경 과장 </t>
    </r>
    <r>
      <rPr>
        <sz val="10"/>
        <color rgb="FF1D1D1F"/>
        <rFont val="맑은 고딕"/>
        <family val="0"/>
        <charset val="1"/>
      </rPr>
      <t xml:space="preserve">(</t>
    </r>
    <r>
      <rPr>
        <sz val="10"/>
        <color rgb="FF1D1D1F"/>
        <rFont val="Noto Sans CJK SC"/>
        <family val="2"/>
      </rPr>
      <t xml:space="preserve">대교</t>
    </r>
    <r>
      <rPr>
        <sz val="10"/>
        <color rgb="FF1D1D1F"/>
        <rFont val="맑은 고딕"/>
        <family val="0"/>
        <charset val="1"/>
      </rPr>
      <t xml:space="preserve">D&amp;S) → </t>
    </r>
    <r>
      <rPr>
        <sz val="10"/>
        <color rgb="FF1D1D1F"/>
        <rFont val="Noto Sans CJK SC"/>
        <family val="2"/>
      </rPr>
      <t xml:space="preserve">기능 </t>
    </r>
    <r>
      <rPr>
        <sz val="10"/>
        <color rgb="FF1D1D1F"/>
        <rFont val="맑은 고딕"/>
        <family val="0"/>
        <charset val="1"/>
      </rPr>
      <t xml:space="preserve">DS-01~DS-10  ·  </t>
    </r>
    <r>
      <rPr>
        <sz val="10"/>
        <color rgb="FF1D1D1F"/>
        <rFont val="Noto Sans CJK SC"/>
        <family val="2"/>
      </rPr>
      <t xml:space="preserve">업무 </t>
    </r>
    <r>
      <rPr>
        <sz val="10"/>
        <color rgb="FF1D1D1F"/>
        <rFont val="맑은 고딕"/>
        <family val="0"/>
        <charset val="1"/>
      </rPr>
      <t xml:space="preserve">WD-01~WD-03
</t>
    </r>
    <r>
      <rPr>
        <sz val="10"/>
        <color rgb="FF1D1D1F"/>
        <rFont val="Noto Sans CJK SC"/>
        <family val="2"/>
      </rPr>
      <t xml:space="preserve">각자 본인 회사 데이터만 다룹니다</t>
    </r>
    <r>
      <rPr>
        <sz val="10"/>
        <color rgb="FF1D1D1F"/>
        <rFont val="맑은 고딕"/>
        <family val="0"/>
        <charset val="1"/>
      </rPr>
      <t xml:space="preserve">. </t>
    </r>
    <r>
      <rPr>
        <sz val="10"/>
        <color rgb="FF1D1D1F"/>
        <rFont val="Noto Sans CJK SC"/>
        <family val="2"/>
      </rPr>
      <t xml:space="preserve">상대방 시나리오는 보지 않아도 됩니다</t>
    </r>
    <r>
      <rPr>
        <sz val="10"/>
        <color rgb="FF1D1D1F"/>
        <rFont val="맑은 고딕"/>
        <family val="0"/>
        <charset val="1"/>
      </rPr>
      <t xml:space="preserve">.</t>
    </r>
  </si>
  <si>
    <t xml:space="preserve">진행 순서</t>
  </si>
  <si>
    <r>
      <rPr>
        <sz val="10"/>
        <color rgb="FF1D1D1F"/>
        <rFont val="Noto Sans CJK SC"/>
        <family val="2"/>
      </rPr>
      <t xml:space="preserve">① 본인 시나리오 시트에서 케이스를 위에서부터 하나씩 읽습니다</t>
    </r>
    <r>
      <rPr>
        <sz val="10"/>
        <color rgb="FF1D1D1F"/>
        <rFont val="맑은 고딕"/>
        <family val="0"/>
        <charset val="1"/>
      </rPr>
      <t xml:space="preserve">.
② 적힌 순서대로 웹앱에서 그대로 해봅니다.
③ '</t>
    </r>
    <r>
      <rPr>
        <sz val="10"/>
        <color rgb="FF1D1D1F"/>
        <rFont val="Noto Sans CJK SC"/>
        <family val="2"/>
      </rPr>
      <t xml:space="preserve">확인항목</t>
    </r>
    <r>
      <rPr>
        <sz val="10"/>
        <color rgb="FF1D1D1F"/>
        <rFont val="맑은 고딕"/>
        <family val="0"/>
        <charset val="1"/>
      </rPr>
      <t xml:space="preserve">' </t>
    </r>
    <r>
      <rPr>
        <sz val="10"/>
        <color rgb="FF1D1D1F"/>
        <rFont val="Noto Sans CJK SC"/>
        <family val="2"/>
      </rPr>
      <t xml:space="preserve">시트로 가서 본인 케이스</t>
    </r>
    <r>
      <rPr>
        <sz val="10"/>
        <color rgb="FF1D1D1F"/>
        <rFont val="맑은 고딕"/>
        <family val="0"/>
        <charset val="1"/>
      </rPr>
      <t xml:space="preserve">ID </t>
    </r>
    <r>
      <rPr>
        <sz val="10"/>
        <color rgb="FF1D1D1F"/>
        <rFont val="Noto Sans CJK SC"/>
        <family val="2"/>
      </rPr>
      <t xml:space="preserve">줄을 찾습니다</t>
    </r>
    <r>
      <rPr>
        <sz val="10"/>
        <color rgb="FF1D1D1F"/>
        <rFont val="맑은 고딕"/>
        <family val="0"/>
        <charset val="1"/>
      </rPr>
      <t xml:space="preserve">.
④ '</t>
    </r>
    <r>
      <rPr>
        <sz val="10"/>
        <color rgb="FF1D1D1F"/>
        <rFont val="Noto Sans CJK SC"/>
        <family val="2"/>
      </rPr>
      <t xml:space="preserve">기대 결과</t>
    </r>
    <r>
      <rPr>
        <sz val="10"/>
        <color rgb="FF1D1D1F"/>
        <rFont val="맑은 고딕"/>
        <family val="0"/>
        <charset val="1"/>
      </rPr>
      <t xml:space="preserve">'</t>
    </r>
    <r>
      <rPr>
        <sz val="10"/>
        <color rgb="FF1D1D1F"/>
        <rFont val="Noto Sans CJK SC"/>
        <family val="2"/>
      </rPr>
      <t xml:space="preserve">와 실제 화면을 비교해 </t>
    </r>
    <r>
      <rPr>
        <sz val="10"/>
        <color rgb="FF1D1D1F"/>
        <rFont val="맑은 고딕"/>
        <family val="0"/>
        <charset val="1"/>
      </rPr>
      <t xml:space="preserve">'</t>
    </r>
    <r>
      <rPr>
        <sz val="10"/>
        <color rgb="FF1D1D1F"/>
        <rFont val="Noto Sans CJK SC"/>
        <family val="2"/>
      </rPr>
      <t xml:space="preserve">판정</t>
    </r>
    <r>
      <rPr>
        <sz val="10"/>
        <color rgb="FF1D1D1F"/>
        <rFont val="맑은 고딕"/>
        <family val="0"/>
        <charset val="1"/>
      </rPr>
      <t xml:space="preserve">' </t>
    </r>
    <r>
      <rPr>
        <sz val="10"/>
        <color rgb="FF1D1D1F"/>
        <rFont val="Noto Sans CJK SC"/>
        <family val="2"/>
      </rPr>
      <t xml:space="preserve">칸에서 </t>
    </r>
    <r>
      <rPr>
        <sz val="10"/>
        <color rgb="FF1D1D1F"/>
        <rFont val="맑은 고딕"/>
        <family val="0"/>
        <charset val="1"/>
      </rPr>
      <t xml:space="preserve">PASS / FAIL </t>
    </r>
    <r>
      <rPr>
        <sz val="10"/>
        <color rgb="FF1D1D1F"/>
        <rFont val="Noto Sans CJK SC"/>
        <family val="2"/>
      </rPr>
      <t xml:space="preserve">을 고릅니다</t>
    </r>
    <r>
      <rPr>
        <sz val="10"/>
        <color rgb="FF1D1D1F"/>
        <rFont val="맑은 고딕"/>
        <family val="0"/>
        <charset val="1"/>
      </rPr>
      <t xml:space="preserve">.
⑤ FAIL</t>
    </r>
    <r>
      <rPr>
        <sz val="10"/>
        <color rgb="FF1D1D1F"/>
        <rFont val="Noto Sans CJK SC"/>
        <family val="2"/>
      </rPr>
      <t xml:space="preserve">이면 </t>
    </r>
    <r>
      <rPr>
        <sz val="10"/>
        <color rgb="FF1D1D1F"/>
        <rFont val="맑은 고딕"/>
        <family val="0"/>
        <charset val="1"/>
      </rPr>
      <t xml:space="preserve">'</t>
    </r>
    <r>
      <rPr>
        <sz val="10"/>
        <color rgb="FF1D1D1F"/>
        <rFont val="Noto Sans CJK SC"/>
        <family val="2"/>
      </rPr>
      <t xml:space="preserve">결함목록</t>
    </r>
    <r>
      <rPr>
        <sz val="10"/>
        <color rgb="FF1D1D1F"/>
        <rFont val="맑은 고딕"/>
        <family val="0"/>
        <charset val="1"/>
      </rPr>
      <t xml:space="preserve">' </t>
    </r>
    <r>
      <rPr>
        <sz val="10"/>
        <color rgb="FF1D1D1F"/>
        <rFont val="Noto Sans CJK SC"/>
        <family val="2"/>
      </rPr>
      <t xml:space="preserve">시트에 한 줄 추가하고</t>
    </r>
    <r>
      <rPr>
        <sz val="10"/>
        <color rgb="FF1D1D1F"/>
        <rFont val="맑은 고딕"/>
        <family val="0"/>
        <charset val="1"/>
      </rPr>
      <t xml:space="preserve">, </t>
    </r>
    <r>
      <rPr>
        <sz val="10"/>
        <color rgb="FF1D1D1F"/>
        <rFont val="Noto Sans CJK SC"/>
        <family val="2"/>
      </rPr>
      <t xml:space="preserve">결함</t>
    </r>
    <r>
      <rPr>
        <sz val="10"/>
        <color rgb="FF1D1D1F"/>
        <rFont val="맑은 고딕"/>
        <family val="0"/>
        <charset val="1"/>
      </rPr>
      <t xml:space="preserve">ID</t>
    </r>
    <r>
      <rPr>
        <sz val="10"/>
        <color rgb="FF1D1D1F"/>
        <rFont val="Noto Sans CJK SC"/>
        <family val="2"/>
      </rPr>
      <t xml:space="preserve">를 확인항목 줄에 적습니다</t>
    </r>
    <r>
      <rPr>
        <sz val="10"/>
        <color rgb="FF1D1D1F"/>
        <rFont val="맑은 고딕"/>
        <family val="0"/>
        <charset val="1"/>
      </rPr>
      <t xml:space="preserve">.
⑥ 시나리오 시트로 돌아오면 PASS·FAIL </t>
    </r>
    <r>
      <rPr>
        <sz val="10"/>
        <color rgb="FF1D1D1F"/>
        <rFont val="Noto Sans CJK SC"/>
        <family val="2"/>
      </rPr>
      <t xml:space="preserve">수가 자동으로 집계됩니다</t>
    </r>
    <r>
      <rPr>
        <sz val="10"/>
        <color rgb="FF1D1D1F"/>
        <rFont val="맑은 고딕"/>
        <family val="0"/>
        <charset val="1"/>
      </rPr>
      <t xml:space="preserve">.</t>
    </r>
  </si>
  <si>
    <t xml:space="preserve">업무 흐름은 다르게 진행합니다</t>
  </si>
  <si>
    <r>
      <rPr>
        <sz val="10"/>
        <color rgb="FF1D1D1F"/>
        <rFont val="Noto Sans CJK SC"/>
        <family val="2"/>
      </rPr>
      <t xml:space="preserve">업무 흐름</t>
    </r>
    <r>
      <rPr>
        <sz val="10"/>
        <color rgb="FF1D1D1F"/>
        <rFont val="맑은 고딕"/>
        <family val="0"/>
        <charset val="1"/>
      </rPr>
      <t xml:space="preserve">(WK·WD)</t>
    </r>
    <r>
      <rPr>
        <sz val="10"/>
        <color rgb="FF1D1D1F"/>
        <rFont val="Noto Sans CJK SC"/>
        <family val="2"/>
      </rPr>
      <t xml:space="preserve">은 화면을 누르기 전에 </t>
    </r>
    <r>
      <rPr>
        <sz val="10"/>
        <color rgb="FF1D1D1F"/>
        <rFont val="맑은 고딕"/>
        <family val="0"/>
        <charset val="1"/>
      </rPr>
      <t xml:space="preserve">'</t>
    </r>
    <r>
      <rPr>
        <sz val="10"/>
        <color rgb="FF1D1D1F"/>
        <rFont val="Noto Sans CJK SC"/>
        <family val="2"/>
      </rPr>
      <t xml:space="preserve">먼저 생각해볼 것</t>
    </r>
    <r>
      <rPr>
        <sz val="10"/>
        <color rgb="FF1D1D1F"/>
        <rFont val="맑은 고딕"/>
        <family val="0"/>
        <charset val="1"/>
      </rPr>
      <t xml:space="preserve">' </t>
    </r>
    <r>
      <rPr>
        <sz val="10"/>
        <color rgb="FF1D1D1F"/>
        <rFont val="Noto Sans CJK SC"/>
        <family val="2"/>
      </rPr>
      <t xml:space="preserve">칸을 종이에 답해보세요</t>
    </r>
    <r>
      <rPr>
        <sz val="10"/>
        <color rgb="FF1D1D1F"/>
        <rFont val="맑은 고딕"/>
        <family val="0"/>
        <charset val="1"/>
      </rPr>
      <t xml:space="preserve">.
</t>
    </r>
    <r>
      <rPr>
        <sz val="10"/>
        <color rgb="FF1D1D1F"/>
        <rFont val="Noto Sans CJK SC"/>
        <family val="2"/>
      </rPr>
      <t xml:space="preserve">이 테스트의 절반은 시스템 점검이고</t>
    </r>
    <r>
      <rPr>
        <sz val="10"/>
        <color rgb="FF1D1D1F"/>
        <rFont val="맑은 고딕"/>
        <family val="0"/>
        <charset val="1"/>
      </rPr>
      <t xml:space="preserve">, </t>
    </r>
    <r>
      <rPr>
        <sz val="10"/>
        <color rgb="FF1D1D1F"/>
        <rFont val="Noto Sans CJK SC"/>
        <family val="2"/>
      </rPr>
      <t xml:space="preserve">나머지 절반은 </t>
    </r>
    <r>
      <rPr>
        <sz val="10"/>
        <color rgb="FF1D1D1F"/>
        <rFont val="맑은 고딕"/>
        <family val="0"/>
        <charset val="1"/>
      </rPr>
      <t xml:space="preserve">'</t>
    </r>
    <r>
      <rPr>
        <sz val="10"/>
        <color rgb="FF1D1D1F"/>
        <rFont val="Noto Sans CJK SC"/>
        <family val="2"/>
      </rPr>
      <t xml:space="preserve">이 시스템으로 사업계획을 세울 수 있는가</t>
    </r>
    <r>
      <rPr>
        <sz val="10"/>
        <color rgb="FF1D1D1F"/>
        <rFont val="맑은 고딕"/>
        <family val="0"/>
        <charset val="1"/>
      </rPr>
      <t xml:space="preserve">'</t>
    </r>
    <r>
      <rPr>
        <sz val="10"/>
        <color rgb="FF1D1D1F"/>
        <rFont val="Noto Sans CJK SC"/>
        <family val="2"/>
      </rPr>
      <t xml:space="preserve">를 보는 것입니다</t>
    </r>
    <r>
      <rPr>
        <sz val="10"/>
        <color rgb="FF1D1D1F"/>
        <rFont val="맑은 고딕"/>
        <family val="0"/>
        <charset val="1"/>
      </rPr>
      <t xml:space="preserve">.
</t>
    </r>
    <r>
      <rPr>
        <sz val="10"/>
        <color rgb="FF1D1D1F"/>
        <rFont val="Noto Sans CJK SC"/>
        <family val="2"/>
      </rPr>
      <t xml:space="preserve">생각이 막히는 지점이 있으면 그것도 적어주세요</t>
    </r>
    <r>
      <rPr>
        <sz val="10"/>
        <color rgb="FF1D1D1F"/>
        <rFont val="맑은 고딕"/>
        <family val="0"/>
        <charset val="1"/>
      </rPr>
      <t xml:space="preserve">. </t>
    </r>
    <r>
      <rPr>
        <sz val="10"/>
        <color rgb="FF1D1D1F"/>
        <rFont val="Noto Sans CJK SC"/>
        <family val="2"/>
      </rPr>
      <t xml:space="preserve">화면이 멀쩡해도 일이 안 되면 고쳐야 합니다</t>
    </r>
    <r>
      <rPr>
        <sz val="10"/>
        <color rgb="FF1D1D1F"/>
        <rFont val="맑은 고딕"/>
        <family val="0"/>
        <charset val="1"/>
      </rPr>
      <t xml:space="preserve">.
</t>
    </r>
    <r>
      <rPr>
        <sz val="10"/>
        <color rgb="FF1D1D1F"/>
        <rFont val="Noto Sans CJK SC"/>
        <family val="2"/>
      </rPr>
      <t xml:space="preserve">세 건을 이어서 하루에 끝내는 편이 좋습니다</t>
    </r>
    <r>
      <rPr>
        <sz val="10"/>
        <color rgb="FF1D1D1F"/>
        <rFont val="맑은 고딕"/>
        <family val="0"/>
        <charset val="1"/>
      </rPr>
      <t xml:space="preserve">. </t>
    </r>
    <r>
      <rPr>
        <sz val="10"/>
        <color rgb="FF1D1D1F"/>
        <rFont val="Noto Sans CJK SC"/>
        <family val="2"/>
      </rPr>
      <t xml:space="preserve">중간에 끊으면 맥락이 사라집니다</t>
    </r>
    <r>
      <rPr>
        <sz val="10"/>
        <color rgb="FF1D1D1F"/>
        <rFont val="맑은 고딕"/>
        <family val="0"/>
        <charset val="1"/>
      </rPr>
      <t xml:space="preserve">. (1</t>
    </r>
    <r>
      <rPr>
        <sz val="10"/>
        <color rgb="FF1D1D1F"/>
        <rFont val="Noto Sans CJK SC"/>
        <family val="2"/>
      </rPr>
      <t xml:space="preserve">인 약 </t>
    </r>
    <r>
      <rPr>
        <sz val="10"/>
        <color rgb="FF1D1D1F"/>
        <rFont val="맑은 고딕"/>
        <family val="0"/>
        <charset val="1"/>
      </rPr>
      <t xml:space="preserve">1</t>
    </r>
    <r>
      <rPr>
        <sz val="10"/>
        <color rgb="FF1D1D1F"/>
        <rFont val="Noto Sans CJK SC"/>
        <family val="2"/>
      </rPr>
      <t xml:space="preserve">시간 반</t>
    </r>
    <r>
      <rPr>
        <sz val="10"/>
        <color rgb="FF1D1D1F"/>
        <rFont val="맑은 고딕"/>
        <family val="0"/>
        <charset val="1"/>
      </rPr>
      <t xml:space="preserve">)</t>
    </r>
  </si>
  <si>
    <t xml:space="preserve">입력 규칙</t>
  </si>
  <si>
    <r>
      <rPr>
        <sz val="10"/>
        <color rgb="FF1D1D1F"/>
        <rFont val="Noto Sans CJK SC"/>
        <family val="2"/>
      </rPr>
      <t xml:space="preserve">노란 칸만 입력합니다</t>
    </r>
    <r>
      <rPr>
        <sz val="10"/>
        <color rgb="FF1D1D1F"/>
        <rFont val="맑은 고딕"/>
        <family val="0"/>
        <charset val="1"/>
      </rPr>
      <t xml:space="preserve">. </t>
    </r>
    <r>
      <rPr>
        <sz val="10"/>
        <color rgb="FF1D1D1F"/>
        <rFont val="Noto Sans CJK SC"/>
        <family val="2"/>
      </rPr>
      <t xml:space="preserve">나머지는 수식이거나 설명입니다</t>
    </r>
    <r>
      <rPr>
        <sz val="10"/>
        <color rgb="FF1D1D1F"/>
        <rFont val="맑은 고딕"/>
        <family val="0"/>
        <charset val="1"/>
      </rPr>
      <t xml:space="preserve">.
</t>
    </r>
    <r>
      <rPr>
        <sz val="10"/>
        <color rgb="FF1D1D1F"/>
        <rFont val="Noto Sans CJK SC"/>
        <family val="2"/>
      </rPr>
      <t xml:space="preserve">판정 칸은 직접 타이핑하지 말고 드롭다운에서 고르세요</t>
    </r>
    <r>
      <rPr>
        <sz val="10"/>
        <color rgb="FF1D1D1F"/>
        <rFont val="맑은 고딕"/>
        <family val="0"/>
        <charset val="1"/>
      </rPr>
      <t xml:space="preserve">.
</t>
    </r>
    <r>
      <rPr>
        <sz val="10"/>
        <color rgb="FF1D1D1F"/>
        <rFont val="Noto Sans CJK SC"/>
        <family val="2"/>
      </rPr>
      <t xml:space="preserve">화면과 다르면 주저하지 말고 </t>
    </r>
    <r>
      <rPr>
        <sz val="10"/>
        <color rgb="FF1D1D1F"/>
        <rFont val="맑은 고딕"/>
        <family val="0"/>
        <charset val="1"/>
      </rPr>
      <t xml:space="preserve">FAIL</t>
    </r>
    <r>
      <rPr>
        <sz val="10"/>
        <color rgb="FF1D1D1F"/>
        <rFont val="Noto Sans CJK SC"/>
        <family val="2"/>
      </rPr>
      <t xml:space="preserve">을 고르세요</t>
    </r>
    <r>
      <rPr>
        <sz val="10"/>
        <color rgb="FF1D1D1F"/>
        <rFont val="맑은 고딕"/>
        <family val="0"/>
        <charset val="1"/>
      </rPr>
      <t xml:space="preserve">. </t>
    </r>
    <r>
      <rPr>
        <sz val="10"/>
        <color rgb="FF1D1D1F"/>
        <rFont val="Noto Sans CJK SC"/>
        <family val="2"/>
      </rPr>
      <t xml:space="preserve">애매하면 </t>
    </r>
    <r>
      <rPr>
        <sz val="10"/>
        <color rgb="FF1D1D1F"/>
        <rFont val="맑은 고딕"/>
        <family val="0"/>
        <charset val="1"/>
      </rPr>
      <t xml:space="preserve">'</t>
    </r>
    <r>
      <rPr>
        <sz val="10"/>
        <color rgb="FF1D1D1F"/>
        <rFont val="Noto Sans CJK SC"/>
        <family val="2"/>
      </rPr>
      <t xml:space="preserve">보류</t>
    </r>
    <r>
      <rPr>
        <sz val="10"/>
        <color rgb="FF1D1D1F"/>
        <rFont val="맑은 고딕"/>
        <family val="0"/>
        <charset val="1"/>
      </rPr>
      <t xml:space="preserve">'</t>
    </r>
    <r>
      <rPr>
        <sz val="10"/>
        <color rgb="FF1D1D1F"/>
        <rFont val="Noto Sans CJK SC"/>
        <family val="2"/>
      </rPr>
      <t xml:space="preserve">로 두고 넘어가면 됩니다</t>
    </r>
    <r>
      <rPr>
        <sz val="10"/>
        <color rgb="FF1D1D1F"/>
        <rFont val="맑은 고딕"/>
        <family val="0"/>
        <charset val="1"/>
      </rPr>
      <t xml:space="preserve">.</t>
    </r>
  </si>
  <si>
    <t xml:space="preserve">판정 기준</t>
  </si>
  <si>
    <r>
      <rPr>
        <sz val="10"/>
        <color rgb="FF1D1D1F"/>
        <rFont val="맑은 고딕"/>
        <family val="0"/>
        <charset val="1"/>
      </rPr>
      <t xml:space="preserve">PASS — </t>
    </r>
    <r>
      <rPr>
        <sz val="10"/>
        <color rgb="FF1D1D1F"/>
        <rFont val="Noto Sans CJK SC"/>
        <family val="2"/>
      </rPr>
      <t xml:space="preserve">기대 결과와 똑같다
</t>
    </r>
    <r>
      <rPr>
        <sz val="10"/>
        <color rgb="FF1D1D1F"/>
        <rFont val="맑은 고딕"/>
        <family val="0"/>
        <charset val="1"/>
      </rPr>
      <t xml:space="preserve">FAIL — </t>
    </r>
    <r>
      <rPr>
        <sz val="10"/>
        <color rgb="FF1D1D1F"/>
        <rFont val="Noto Sans CJK SC"/>
        <family val="2"/>
      </rPr>
      <t xml:space="preserve">기대 결과와 다르다 </t>
    </r>
    <r>
      <rPr>
        <sz val="10"/>
        <color rgb="FF1D1D1F"/>
        <rFont val="맑은 고딕"/>
        <family val="0"/>
        <charset val="1"/>
      </rPr>
      <t xml:space="preserve">(</t>
    </r>
    <r>
      <rPr>
        <sz val="10"/>
        <color rgb="FF1D1D1F"/>
        <rFont val="Noto Sans CJK SC"/>
        <family val="2"/>
      </rPr>
      <t xml:space="preserve">오류가 나거나</t>
    </r>
    <r>
      <rPr>
        <sz val="10"/>
        <color rgb="FF1D1D1F"/>
        <rFont val="맑은 고딕"/>
        <family val="0"/>
        <charset val="1"/>
      </rPr>
      <t xml:space="preserve">, </t>
    </r>
    <r>
      <rPr>
        <sz val="10"/>
        <color rgb="FF1D1D1F"/>
        <rFont val="Noto Sans CJK SC"/>
        <family val="2"/>
      </rPr>
      <t xml:space="preserve">아예 그 기능이 없거나</t>
    </r>
    <r>
      <rPr>
        <sz val="10"/>
        <color rgb="FF1D1D1F"/>
        <rFont val="맑은 고딕"/>
        <family val="0"/>
        <charset val="1"/>
      </rPr>
      <t xml:space="preserve">, </t>
    </r>
    <r>
      <rPr>
        <sz val="10"/>
        <color rgb="FF1D1D1F"/>
        <rFont val="Noto Sans CJK SC"/>
        <family val="2"/>
      </rPr>
      <t xml:space="preserve">다르게 동작한다</t>
    </r>
    <r>
      <rPr>
        <sz val="10"/>
        <color rgb="FF1D1D1F"/>
        <rFont val="맑은 고딕"/>
        <family val="0"/>
        <charset val="1"/>
      </rPr>
      <t xml:space="preserve">)
</t>
    </r>
    <r>
      <rPr>
        <sz val="10"/>
        <color rgb="FF1D1D1F"/>
        <rFont val="Noto Sans CJK SC"/>
        <family val="2"/>
      </rPr>
      <t xml:space="preserve">보류 — 판단이 서지 않는다</t>
    </r>
    <r>
      <rPr>
        <sz val="10"/>
        <color rgb="FF1D1D1F"/>
        <rFont val="맑은 고딕"/>
        <family val="0"/>
        <charset val="1"/>
      </rPr>
      <t xml:space="preserve">. </t>
    </r>
    <r>
      <rPr>
        <sz val="10"/>
        <color rgb="FF1D1D1F"/>
        <rFont val="Noto Sans CJK SC"/>
        <family val="2"/>
      </rPr>
      <t xml:space="preserve">나중에 같이 본다
해당없음 — 내 권한이나 내 회사 데이터로는 확인할 수 없다</t>
    </r>
  </si>
  <si>
    <t xml:space="preserve">테스트 데이터</t>
  </si>
  <si>
    <r>
      <rPr>
        <sz val="10"/>
        <color rgb="FF1D1D1F"/>
        <rFont val="Noto Sans CJK SC"/>
        <family val="2"/>
      </rPr>
      <t xml:space="preserve">기능 테스트는 실제 </t>
    </r>
    <r>
      <rPr>
        <sz val="10"/>
        <color rgb="FF1D1D1F"/>
        <rFont val="맑은 고딕"/>
        <family val="0"/>
        <charset val="1"/>
      </rPr>
      <t xml:space="preserve">2026</t>
    </r>
    <r>
      <rPr>
        <sz val="10"/>
        <color rgb="FF1D1D1F"/>
        <rFont val="Noto Sans CJK SC"/>
        <family val="2"/>
      </rPr>
      <t xml:space="preserve">년 데이터로 합니다</t>
    </r>
    <r>
      <rPr>
        <sz val="10"/>
        <color rgb="FF1D1D1F"/>
        <rFont val="맑은 고딕"/>
        <family val="0"/>
        <charset val="1"/>
      </rPr>
      <t xml:space="preserve">. </t>
    </r>
    <r>
      <rPr>
        <sz val="10"/>
        <color rgb="FF1D1D1F"/>
        <rFont val="Noto Sans CJK SC"/>
        <family val="2"/>
      </rPr>
      <t xml:space="preserve">새로 만드는 목표는 전략 이름 앞에 </t>
    </r>
    <r>
      <rPr>
        <sz val="10"/>
        <color rgb="FF1D1D1F"/>
        <rFont val="맑은 고딕"/>
        <family val="0"/>
        <charset val="1"/>
      </rPr>
      <t xml:space="preserve">[</t>
    </r>
    <r>
      <rPr>
        <sz val="10"/>
        <color rgb="FF1D1D1F"/>
        <rFont val="Noto Sans CJK SC"/>
        <family val="2"/>
      </rPr>
      <t xml:space="preserve">테스트</t>
    </r>
    <r>
      <rPr>
        <sz val="10"/>
        <color rgb="FF1D1D1F"/>
        <rFont val="맑은 고딕"/>
        <family val="0"/>
        <charset val="1"/>
      </rPr>
      <t xml:space="preserve">] </t>
    </r>
    <r>
      <rPr>
        <sz val="10"/>
        <color rgb="FF1D1D1F"/>
        <rFont val="Noto Sans CJK SC"/>
        <family val="2"/>
      </rPr>
      <t xml:space="preserve">를 붙여주세요</t>
    </r>
    <r>
      <rPr>
        <sz val="10"/>
        <color rgb="FF1D1D1F"/>
        <rFont val="맑은 고딕"/>
        <family val="0"/>
        <charset val="1"/>
      </rPr>
      <t xml:space="preserve">.
</t>
    </r>
    <r>
      <rPr>
        <sz val="10"/>
        <color rgb="FF1D1D1F"/>
        <rFont val="Noto Sans CJK SC"/>
        <family val="2"/>
      </rPr>
      <t xml:space="preserve">업무 흐름은 가상의 연습용 상황입니다</t>
    </r>
    <r>
      <rPr>
        <sz val="10"/>
        <color rgb="FF1D1D1F"/>
        <rFont val="맑은 고딕"/>
        <family val="0"/>
        <charset val="1"/>
      </rPr>
      <t xml:space="preserve">. </t>
    </r>
    <r>
      <rPr>
        <sz val="10"/>
        <color rgb="FF1D1D1F"/>
        <rFont val="Noto Sans CJK SC"/>
        <family val="2"/>
      </rPr>
      <t xml:space="preserve">실제 계획이 아니므로 전략 이름 앞에 </t>
    </r>
    <r>
      <rPr>
        <sz val="10"/>
        <color rgb="FF1D1D1F"/>
        <rFont val="맑은 고딕"/>
        <family val="0"/>
        <charset val="1"/>
      </rPr>
      <t xml:space="preserve">[</t>
    </r>
    <r>
      <rPr>
        <sz val="10"/>
        <color rgb="FF1D1D1F"/>
        <rFont val="Noto Sans CJK SC"/>
        <family val="2"/>
      </rPr>
      <t xml:space="preserve">연습</t>
    </r>
    <r>
      <rPr>
        <sz val="10"/>
        <color rgb="FF1D1D1F"/>
        <rFont val="맑은 고딕"/>
        <family val="0"/>
        <charset val="1"/>
      </rPr>
      <t xml:space="preserve">] </t>
    </r>
    <r>
      <rPr>
        <sz val="10"/>
        <color rgb="FF1D1D1F"/>
        <rFont val="Noto Sans CJK SC"/>
        <family val="2"/>
      </rPr>
      <t xml:space="preserve">을 붙여주세요</t>
    </r>
    <r>
      <rPr>
        <sz val="10"/>
        <color rgb="FF1D1D1F"/>
        <rFont val="맑은 고딕"/>
        <family val="0"/>
        <charset val="1"/>
      </rPr>
      <t xml:space="preserve">.
</t>
    </r>
    <r>
      <rPr>
        <sz val="10"/>
        <color rgb="FF1D1D1F"/>
        <rFont val="Noto Sans CJK SC"/>
        <family val="2"/>
      </rPr>
      <t xml:space="preserve">업무 흐름에서 </t>
    </r>
    <r>
      <rPr>
        <sz val="10"/>
        <color rgb="FF1D1D1F"/>
        <rFont val="맑은 고딕"/>
        <family val="0"/>
        <charset val="1"/>
      </rPr>
      <t xml:space="preserve">KPI </t>
    </r>
    <r>
      <rPr>
        <sz val="10"/>
        <color rgb="FF1D1D1F"/>
        <rFont val="Noto Sans CJK SC"/>
        <family val="2"/>
      </rPr>
      <t xml:space="preserve">기준정보에 지표를 새로 등록하게 되는데</t>
    </r>
    <r>
      <rPr>
        <sz val="10"/>
        <color rgb="FF1D1D1F"/>
        <rFont val="맑은 고딕"/>
        <family val="0"/>
        <charset val="1"/>
      </rPr>
      <t xml:space="preserve">, </t>
    </r>
    <r>
      <rPr>
        <sz val="10"/>
        <color rgb="FF1D1D1F"/>
        <rFont val="Noto Sans CJK SC"/>
        <family val="2"/>
      </rPr>
      <t xml:space="preserve">마지막 단계에 정리</t>
    </r>
    <r>
      <rPr>
        <sz val="10"/>
        <color rgb="FF1D1D1F"/>
        <rFont val="맑은 고딕"/>
        <family val="0"/>
        <charset val="1"/>
      </rPr>
      <t xml:space="preserve">(</t>
    </r>
    <r>
      <rPr>
        <sz val="10"/>
        <color rgb="FF1D1D1F"/>
        <rFont val="Noto Sans CJK SC"/>
        <family val="2"/>
      </rPr>
      <t xml:space="preserve">숨김</t>
    </r>
    <r>
      <rPr>
        <sz val="10"/>
        <color rgb="FF1D1D1F"/>
        <rFont val="맑은 고딕"/>
        <family val="0"/>
        <charset val="1"/>
      </rPr>
      <t xml:space="preserve">) </t>
    </r>
    <r>
      <rPr>
        <sz val="10"/>
        <color rgb="FF1D1D1F"/>
        <rFont val="Noto Sans CJK SC"/>
        <family val="2"/>
      </rPr>
      <t xml:space="preserve">절차가 들어 있습니다</t>
    </r>
    <r>
      <rPr>
        <sz val="10"/>
        <color rgb="FF1D1D1F"/>
        <rFont val="맑은 고딕"/>
        <family val="0"/>
        <charset val="1"/>
      </rPr>
      <t xml:space="preserve">.
</t>
    </r>
    <r>
      <rPr>
        <sz val="10"/>
        <color rgb="FF1D1D1F"/>
        <rFont val="Noto Sans CJK SC"/>
        <family val="2"/>
      </rPr>
      <t xml:space="preserve">모든 변경은 자동으로 기록되므로 되돌릴 수 있습니다</t>
    </r>
    <r>
      <rPr>
        <sz val="10"/>
        <color rgb="FF1D1D1F"/>
        <rFont val="맑은 고딕"/>
        <family val="0"/>
        <charset val="1"/>
      </rPr>
      <t xml:space="preserve">.</t>
    </r>
  </si>
  <si>
    <t xml:space="preserve">확인할 수 없는 것</t>
  </si>
  <si>
    <r>
      <rPr>
        <sz val="10"/>
        <color rgb="FF1D1D1F"/>
        <rFont val="Noto Sans CJK SC"/>
        <family val="2"/>
      </rPr>
      <t xml:space="preserve">① 지주사의 </t>
    </r>
    <r>
      <rPr>
        <sz val="10"/>
        <color rgb="FF1D1D1F"/>
        <rFont val="맑은 고딕"/>
        <family val="0"/>
        <charset val="1"/>
      </rPr>
      <t xml:space="preserve">'</t>
    </r>
    <r>
      <rPr>
        <sz val="10"/>
        <color rgb="FF1D1D1F"/>
        <rFont val="Noto Sans CJK SC"/>
        <family val="2"/>
      </rPr>
      <t xml:space="preserve">최종 확정</t>
    </r>
    <r>
      <rPr>
        <sz val="10"/>
        <color rgb="FF1D1D1F"/>
        <rFont val="맑은 고딕"/>
        <family val="0"/>
        <charset val="1"/>
      </rPr>
      <t xml:space="preserve">' </t>
    </r>
    <r>
      <rPr>
        <sz val="10"/>
        <color rgb="FF1D1D1F"/>
        <rFont val="Noto Sans CJK SC"/>
        <family val="2"/>
      </rPr>
      <t xml:space="preserve">단계 — 두 분 모두 계열사 담당자라 이 단추가 없습니다</t>
    </r>
    <r>
      <rPr>
        <sz val="10"/>
        <color rgb="FF1D1D1F"/>
        <rFont val="맑은 고딕"/>
        <family val="0"/>
        <charset val="1"/>
      </rPr>
      <t xml:space="preserve">. </t>
    </r>
    <r>
      <rPr>
        <sz val="10"/>
        <color rgb="FF1D1D1F"/>
        <rFont val="Noto Sans CJK SC"/>
        <family val="2"/>
      </rPr>
      <t xml:space="preserve">지주사 담당자가 별도로 확인합니다</t>
    </r>
    <r>
      <rPr>
        <sz val="10"/>
        <color rgb="FF1D1D1F"/>
        <rFont val="맑은 고딕"/>
        <family val="0"/>
        <charset val="1"/>
      </rPr>
      <t xml:space="preserve">.
② '</t>
    </r>
    <r>
      <rPr>
        <sz val="10"/>
        <color rgb="FF1D1D1F"/>
        <rFont val="Noto Sans CJK SC"/>
        <family val="2"/>
      </rPr>
      <t xml:space="preserve">사업부 담당자가 작성 → 계열사가 검토</t>
    </r>
    <r>
      <rPr>
        <sz val="10"/>
        <color rgb="FF1D1D1F"/>
        <rFont val="맑은 고딕"/>
        <family val="0"/>
        <charset val="1"/>
      </rPr>
      <t xml:space="preserve">' </t>
    </r>
    <r>
      <rPr>
        <sz val="10"/>
        <color rgb="FF1D1D1F"/>
        <rFont val="Noto Sans CJK SC"/>
        <family val="2"/>
      </rPr>
      <t xml:space="preserve">흐름 — 사업부 담당자 계정이 아직 없습니다</t>
    </r>
    <r>
      <rPr>
        <sz val="10"/>
        <color rgb="FF1D1D1F"/>
        <rFont val="맑은 고딕"/>
        <family val="0"/>
        <charset val="1"/>
      </rPr>
      <t xml:space="preserve">.
③ '</t>
    </r>
    <r>
      <rPr>
        <sz val="10"/>
        <color rgb="FF1D1D1F"/>
        <rFont val="Noto Sans CJK SC"/>
        <family val="2"/>
      </rPr>
      <t xml:space="preserve">작년 목표 불러오기</t>
    </r>
    <r>
      <rPr>
        <sz val="10"/>
        <color rgb="FF1D1D1F"/>
        <rFont val="맑은 고딕"/>
        <family val="0"/>
        <charset val="1"/>
      </rPr>
      <t xml:space="preserve">' — </t>
    </r>
    <r>
      <rPr>
        <sz val="10"/>
        <color rgb="FF1D1D1F"/>
        <rFont val="Noto Sans CJK SC"/>
        <family val="2"/>
      </rPr>
      <t xml:space="preserve">시스템에 </t>
    </r>
    <r>
      <rPr>
        <sz val="10"/>
        <color rgb="FF1D1D1F"/>
        <rFont val="맑은 고딕"/>
        <family val="0"/>
        <charset val="1"/>
      </rPr>
      <t xml:space="preserve">2025</t>
    </r>
    <r>
      <rPr>
        <sz val="10"/>
        <color rgb="FF1D1D1F"/>
        <rFont val="Noto Sans CJK SC"/>
        <family val="2"/>
      </rPr>
      <t xml:space="preserve">년 데이터가 아예 없어서 이번에는 확인할 수 없습니다</t>
    </r>
    <r>
      <rPr>
        <sz val="10"/>
        <color rgb="FF1D1D1F"/>
        <rFont val="맑은 고딕"/>
        <family val="0"/>
        <charset val="1"/>
      </rPr>
      <t xml:space="preserve">.
</t>
    </r>
    <r>
      <rPr>
        <sz val="10"/>
        <color rgb="FF1D1D1F"/>
        <rFont val="Noto Sans CJK SC"/>
        <family val="2"/>
      </rPr>
      <t xml:space="preserve">이 세 가지는 시나리오에서 빠져 있습니다</t>
    </r>
    <r>
      <rPr>
        <sz val="10"/>
        <color rgb="FF1D1D1F"/>
        <rFont val="맑은 고딕"/>
        <family val="0"/>
        <charset val="1"/>
      </rPr>
      <t xml:space="preserve">. </t>
    </r>
    <r>
      <rPr>
        <sz val="10"/>
        <color rgb="FF1D1D1F"/>
        <rFont val="Noto Sans CJK SC"/>
        <family val="2"/>
      </rPr>
      <t xml:space="preserve">못 찾았다고 </t>
    </r>
    <r>
      <rPr>
        <sz val="10"/>
        <color rgb="FF1D1D1F"/>
        <rFont val="맑은 고딕"/>
        <family val="0"/>
        <charset val="1"/>
      </rPr>
      <t xml:space="preserve">FAIL</t>
    </r>
    <r>
      <rPr>
        <sz val="10"/>
        <color rgb="FF1D1D1F"/>
        <rFont val="Noto Sans CJK SC"/>
        <family val="2"/>
      </rPr>
      <t xml:space="preserve">로 두지 마세요</t>
    </r>
    <r>
      <rPr>
        <sz val="10"/>
        <color rgb="FF1D1D1F"/>
        <rFont val="맑은 고딕"/>
        <family val="0"/>
        <charset val="1"/>
      </rPr>
      <t xml:space="preserve">.</t>
    </r>
  </si>
  <si>
    <t xml:space="preserve">문의</t>
  </si>
  <si>
    <r>
      <rPr>
        <sz val="10"/>
        <color rgb="FF1D1D1F"/>
        <rFont val="Noto Sans CJK SC"/>
        <family val="2"/>
      </rPr>
      <t xml:space="preserve">진행 중 막히면 바로 물어봐 주세요</t>
    </r>
    <r>
      <rPr>
        <sz val="10"/>
        <color rgb="FF1D1D1F"/>
        <rFont val="맑은 고딕"/>
        <family val="0"/>
        <charset val="1"/>
      </rPr>
      <t xml:space="preserve">. </t>
    </r>
    <r>
      <rPr>
        <sz val="10"/>
        <color rgb="FF1D1D1F"/>
        <rFont val="Noto Sans CJK SC"/>
        <family val="2"/>
      </rPr>
      <t xml:space="preserve">막힌 것도 결함입니다 — </t>
    </r>
    <r>
      <rPr>
        <sz val="10"/>
        <color rgb="FF1D1D1F"/>
        <rFont val="맑은 고딕"/>
        <family val="0"/>
        <charset val="1"/>
      </rPr>
      <t xml:space="preserve">'</t>
    </r>
    <r>
      <rPr>
        <sz val="10"/>
        <color rgb="FF1D1D1F"/>
        <rFont val="Noto Sans CJK SC"/>
        <family val="2"/>
      </rPr>
      <t xml:space="preserve">결함목록</t>
    </r>
    <r>
      <rPr>
        <sz val="10"/>
        <color rgb="FF1D1D1F"/>
        <rFont val="맑은 고딕"/>
        <family val="0"/>
        <charset val="1"/>
      </rPr>
      <t xml:space="preserve">'</t>
    </r>
    <r>
      <rPr>
        <sz val="10"/>
        <color rgb="FF1D1D1F"/>
        <rFont val="Noto Sans CJK SC"/>
        <family val="2"/>
      </rPr>
      <t xml:space="preserve">에 적어두면 됩니다</t>
    </r>
    <r>
      <rPr>
        <sz val="10"/>
        <color rgb="FF1D1D1F"/>
        <rFont val="맑은 고딕"/>
        <family val="0"/>
        <charset val="1"/>
      </rPr>
      <t xml:space="preserve">.</t>
    </r>
  </si>
  <si>
    <t xml:space="preserve">범례</t>
  </si>
  <si>
    <r>
      <rPr>
        <sz val="10"/>
        <color rgb="FF1D1D1F"/>
        <rFont val="Noto Sans CJK SC"/>
        <family val="2"/>
      </rPr>
      <t xml:space="preserve">노란 칸 </t>
    </r>
    <r>
      <rPr>
        <sz val="10"/>
        <color rgb="FF1D1D1F"/>
        <rFont val="맑은 고딕"/>
        <family val="0"/>
        <charset val="1"/>
      </rPr>
      <t xml:space="preserve">= </t>
    </r>
    <r>
      <rPr>
        <sz val="10"/>
        <color rgb="FF1D1D1F"/>
        <rFont val="Noto Sans CJK SC"/>
        <family val="2"/>
      </rPr>
      <t xml:space="preserve">테스터가 입력하는 칸   </t>
    </r>
    <r>
      <rPr>
        <sz val="10"/>
        <color rgb="FF1D1D1F"/>
        <rFont val="맑은 고딕"/>
        <family val="0"/>
        <charset val="1"/>
      </rPr>
      <t xml:space="preserve">·   </t>
    </r>
    <r>
      <rPr>
        <sz val="10"/>
        <color rgb="FF1D1D1F"/>
        <rFont val="Noto Sans CJK SC"/>
        <family val="2"/>
      </rPr>
      <t xml:space="preserve">회색 칸 </t>
    </r>
    <r>
      <rPr>
        <sz val="10"/>
        <color rgb="FF1D1D1F"/>
        <rFont val="맑은 고딕"/>
        <family val="0"/>
        <charset val="1"/>
      </rPr>
      <t xml:space="preserve">= </t>
    </r>
    <r>
      <rPr>
        <sz val="10"/>
        <color rgb="FF1D1D1F"/>
        <rFont val="Noto Sans CJK SC"/>
        <family val="2"/>
      </rPr>
      <t xml:space="preserve">자동 계산   </t>
    </r>
    <r>
      <rPr>
        <sz val="10"/>
        <color rgb="FF1D1D1F"/>
        <rFont val="맑은 고딕"/>
        <family val="0"/>
        <charset val="1"/>
      </rPr>
      <t xml:space="preserve">·   </t>
    </r>
    <r>
      <rPr>
        <sz val="10"/>
        <color rgb="FF1D1D1F"/>
        <rFont val="Noto Sans CJK SC"/>
        <family val="2"/>
      </rPr>
      <t xml:space="preserve">흰 칸 </t>
    </r>
    <r>
      <rPr>
        <sz val="10"/>
        <color rgb="FF1D1D1F"/>
        <rFont val="맑은 고딕"/>
        <family val="0"/>
        <charset val="1"/>
      </rPr>
      <t xml:space="preserve">= </t>
    </r>
    <r>
      <rPr>
        <sz val="10"/>
        <color rgb="FF1D1D1F"/>
        <rFont val="Noto Sans CJK SC"/>
        <family val="2"/>
      </rPr>
      <t xml:space="preserve">읽는 설명</t>
    </r>
  </si>
  <si>
    <r>
      <rPr>
        <b val="true"/>
        <sz val="13"/>
        <color rgb="FF1D1D1F"/>
        <rFont val="Noto Sans CJK SC"/>
        <family val="2"/>
      </rPr>
      <t xml:space="preserve">강원심층수 — 류원준 대리  </t>
    </r>
    <r>
      <rPr>
        <b val="true"/>
        <sz val="13"/>
        <color rgb="FF1D1D1F"/>
        <rFont val="맑은 고딕"/>
        <family val="0"/>
        <charset val="1"/>
      </rPr>
      <t xml:space="preserve">|  </t>
    </r>
    <r>
      <rPr>
        <b val="true"/>
        <sz val="13"/>
        <color rgb="FF1D1D1F"/>
        <rFont val="Noto Sans CJK SC"/>
        <family val="2"/>
      </rPr>
      <t xml:space="preserve">기능 확인 </t>
    </r>
    <r>
      <rPr>
        <b val="true"/>
        <sz val="13"/>
        <color rgb="FF1D1D1F"/>
        <rFont val="맑은 고딕"/>
        <family val="0"/>
        <charset val="1"/>
      </rPr>
      <t xml:space="preserve">10</t>
    </r>
    <r>
      <rPr>
        <b val="true"/>
        <sz val="13"/>
        <color rgb="FF1D1D1F"/>
        <rFont val="Noto Sans CJK SC"/>
        <family val="2"/>
      </rPr>
      <t xml:space="preserve">건</t>
    </r>
  </si>
  <si>
    <r>
      <rPr>
        <sz val="9"/>
        <color rgb="FF6E6E73"/>
        <rFont val="Noto Sans CJK SC"/>
        <family val="2"/>
      </rPr>
      <t xml:space="preserve">← 이 네 칸은 </t>
    </r>
    <r>
      <rPr>
        <sz val="9"/>
        <color rgb="FF6E6E73"/>
        <rFont val="맑은 고딕"/>
        <family val="0"/>
        <charset val="1"/>
      </rPr>
      <t xml:space="preserve">'</t>
    </r>
    <r>
      <rPr>
        <sz val="9"/>
        <color rgb="FF6E6E73"/>
        <rFont val="Noto Sans CJK SC"/>
        <family val="2"/>
      </rPr>
      <t xml:space="preserve">확인항목</t>
    </r>
    <r>
      <rPr>
        <sz val="9"/>
        <color rgb="FF6E6E73"/>
        <rFont val="맑은 고딕"/>
        <family val="0"/>
        <charset val="1"/>
      </rPr>
      <t xml:space="preserve">' </t>
    </r>
    <r>
      <rPr>
        <sz val="9"/>
        <color rgb="FF6E6E73"/>
        <rFont val="Noto Sans CJK SC"/>
        <family val="2"/>
      </rPr>
      <t xml:space="preserve">시트에서 자동 집계됩니다</t>
    </r>
  </si>
  <si>
    <r>
      <rPr>
        <b val="true"/>
        <sz val="10"/>
        <color rgb="FFFFFFFF"/>
        <rFont val="Noto Sans CJK SC"/>
        <family val="2"/>
      </rPr>
      <t xml:space="preserve">케이스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</si>
  <si>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화면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기능</t>
    </r>
  </si>
  <si>
    <t xml:space="preserve">무엇을 확인하나요</t>
  </si>
  <si>
    <r>
      <rPr>
        <b val="true"/>
        <sz val="10"/>
        <color rgb="FFFFFFFF"/>
        <rFont val="Noto Sans CJK SC"/>
        <family val="2"/>
      </rPr>
      <t xml:space="preserve">왜 보나요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개편된 내용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</si>
  <si>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시작하기 전에</t>
  </si>
  <si>
    <r>
      <rPr>
        <b val="true"/>
        <sz val="10"/>
        <color rgb="FFFFFFFF"/>
        <rFont val="Noto Sans CJK SC"/>
        <family val="2"/>
      </rPr>
      <t xml:space="preserve">어떻게 하나요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순서대로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</si>
  <si>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특히 눈여겨볼 것</t>
  </si>
  <si>
    <t xml:space="preserve">확인
항목</t>
  </si>
  <si>
    <t xml:space="preserve">PASS</t>
  </si>
  <si>
    <t xml:space="preserve">FAIL</t>
  </si>
  <si>
    <t xml:space="preserve">미확인</t>
  </si>
  <si>
    <t xml:space="preserve">케이스
결과</t>
  </si>
  <si>
    <t xml:space="preserve">테스트일</t>
  </si>
  <si>
    <t xml:space="preserve">메모</t>
  </si>
  <si>
    <t xml:space="preserve">KW-01</t>
  </si>
  <si>
    <r>
      <rPr>
        <sz val="9"/>
        <color rgb="FF1D1D1F"/>
        <rFont val="Noto Sans CJK SC"/>
        <family val="2"/>
      </rPr>
      <t xml:space="preserve">로그인 </t>
    </r>
    <r>
      <rPr>
        <sz val="9"/>
        <color rgb="FF1D1D1F"/>
        <rFont val="맑은 고딕"/>
        <family val="0"/>
        <charset val="1"/>
      </rPr>
      <t xml:space="preserve">· </t>
    </r>
    <r>
      <rPr>
        <sz val="9"/>
        <color rgb="FF1D1D1F"/>
        <rFont val="Noto Sans CJK SC"/>
        <family val="2"/>
      </rPr>
      <t xml:space="preserve">메뉴</t>
    </r>
  </si>
  <si>
    <r>
      <rPr>
        <b val="true"/>
        <sz val="10"/>
        <color rgb="FF1D1D1F"/>
        <rFont val="Noto Sans CJK SC"/>
        <family val="2"/>
      </rPr>
      <t xml:space="preserve">로그인하면 어느 화면이 먼저 뜨는지</t>
    </r>
    <r>
      <rPr>
        <b val="true"/>
        <sz val="10"/>
        <color rgb="FF1D1D1F"/>
        <rFont val="맑은 고딕"/>
        <family val="0"/>
        <charset val="1"/>
      </rPr>
      <t xml:space="preserve">, </t>
    </r>
    <r>
      <rPr>
        <b val="true"/>
        <sz val="10"/>
        <color rgb="FF1D1D1F"/>
        <rFont val="Noto Sans CJK SC"/>
        <family val="2"/>
      </rPr>
      <t xml:space="preserve">메뉴 순서가 바뀌었는지 본다</t>
    </r>
  </si>
  <si>
    <r>
      <rPr>
        <sz val="9"/>
        <color rgb="FF6E6E73"/>
        <rFont val="Noto Sans CJK SC"/>
        <family val="2"/>
      </rPr>
      <t xml:space="preserve">메뉴 이름과 순서를 바꿨습니다</t>
    </r>
    <r>
      <rPr>
        <sz val="9"/>
        <color rgb="FF6E6E73"/>
        <rFont val="맑은 고딕"/>
        <family val="0"/>
        <charset val="1"/>
      </rPr>
      <t xml:space="preserve">. '</t>
    </r>
    <r>
      <rPr>
        <sz val="9"/>
        <color rgb="FF6E6E73"/>
        <rFont val="Noto Sans CJK SC"/>
        <family val="2"/>
      </rPr>
      <t xml:space="preserve">현황</t>
    </r>
    <r>
      <rPr>
        <sz val="9"/>
        <color rgb="FF6E6E73"/>
        <rFont val="맑은 고딕"/>
        <family val="0"/>
        <charset val="1"/>
      </rPr>
      <t xml:space="preserve">'→'</t>
    </r>
    <r>
      <rPr>
        <sz val="9"/>
        <color rgb="FF6E6E73"/>
        <rFont val="Noto Sans CJK SC"/>
        <family val="2"/>
      </rPr>
      <t xml:space="preserve">대시보드</t>
    </r>
    <r>
      <rPr>
        <sz val="9"/>
        <color rgb="FF6E6E73"/>
        <rFont val="맑은 고딕"/>
        <family val="0"/>
        <charset val="1"/>
      </rPr>
      <t xml:space="preserve">'</t>
    </r>
    <r>
      <rPr>
        <sz val="9"/>
        <color rgb="FF6E6E73"/>
        <rFont val="Noto Sans CJK SC"/>
        <family val="2"/>
      </rPr>
      <t xml:space="preserve">로 이름이 바뀌어 맨 위로</t>
    </r>
    <r>
      <rPr>
        <sz val="9"/>
        <color rgb="FF6E6E73"/>
        <rFont val="맑은 고딕"/>
        <family val="0"/>
        <charset val="1"/>
      </rPr>
      <t xml:space="preserve">, '</t>
    </r>
    <r>
      <rPr>
        <sz val="9"/>
        <color rgb="FF6E6E73"/>
        <rFont val="Noto Sans CJK SC"/>
        <family val="2"/>
      </rPr>
      <t xml:space="preserve">홈</t>
    </r>
    <r>
      <rPr>
        <sz val="9"/>
        <color rgb="FF6E6E73"/>
        <rFont val="맑은 고딕"/>
        <family val="0"/>
        <charset val="1"/>
      </rPr>
      <t xml:space="preserve">'→'</t>
    </r>
    <r>
      <rPr>
        <sz val="9"/>
        <color rgb="FF6E6E73"/>
        <rFont val="Noto Sans CJK SC"/>
        <family val="2"/>
      </rPr>
      <t xml:space="preserve">나의 할 일</t>
    </r>
    <r>
      <rPr>
        <sz val="9"/>
        <color rgb="FF6E6E73"/>
        <rFont val="맑은 고딕"/>
        <family val="0"/>
        <charset val="1"/>
      </rPr>
      <t xml:space="preserve">'</t>
    </r>
    <r>
      <rPr>
        <sz val="9"/>
        <color rgb="FF6E6E73"/>
        <rFont val="Noto Sans CJK SC"/>
        <family val="2"/>
      </rPr>
      <t xml:space="preserve">로 바뀌어 두 번째로 왔습니다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</si>
  <si>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Noto Sans CJK SC"/>
        <family val="2"/>
      </rPr>
      <t xml:space="preserve">본인 계정</t>
    </r>
    <r>
      <rPr>
        <sz val="9"/>
        <color rgb="FF1D1D1F"/>
        <rFont val="맑은 고딕"/>
        <family val="0"/>
        <charset val="1"/>
      </rPr>
      <t xml:space="preserve">(wonjun_ryu@daekyo.co.kr)</t>
    </r>
    <r>
      <rPr>
        <sz val="9"/>
        <color rgb="FF1D1D1F"/>
        <rFont val="Noto Sans CJK SC"/>
        <family val="2"/>
      </rPr>
      <t xml:space="preserve">으로 로그아웃된 상태에서 시작</t>
    </r>
  </si>
  <si>
    <r>
      <rPr>
        <sz val="9"/>
        <color rgb="FF1D1D1F"/>
        <rFont val="Noto Sans CJK SC"/>
        <family val="2"/>
      </rPr>
      <t xml:space="preserve">① 로그인한다
② 로그인 직후 어느 화면이 떴는지 본다
③ 왼쪽 메뉴 이름을 위에서부터 읽는다
④ 왼쪽 아래 연도가 </t>
    </r>
    <r>
      <rPr>
        <sz val="9"/>
        <color rgb="FF1D1D1F"/>
        <rFont val="맑은 고딕"/>
        <family val="0"/>
        <charset val="1"/>
      </rPr>
      <t xml:space="preserve">2026</t>
    </r>
    <r>
      <rPr>
        <sz val="9"/>
        <color rgb="FF1D1D1F"/>
        <rFont val="Noto Sans CJK SC"/>
        <family val="2"/>
      </rPr>
      <t xml:space="preserve">년인지 본다
⑤ 화면 위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회사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선택칸을 열어본다</t>
    </r>
  </si>
  <si>
    <r>
      <rPr>
        <sz val="9"/>
        <color rgb="FFB9821F"/>
        <rFont val="Noto Sans CJK SC"/>
        <family val="2"/>
      </rPr>
      <t xml:space="preserve">메뉴가 대시보드 → 나의 할 일 → 사업계획 → 실적 입력 순서인지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회사 선택칸에 강원심층수만 있는지</t>
    </r>
  </si>
  <si>
    <t xml:space="preserve">KW-02</t>
  </si>
  <si>
    <t xml:space="preserve">대시보드</t>
  </si>
  <si>
    <t xml:space="preserve">대시보드의 숫자를 눌렀을 때 바로 할 일 화면으로 넘어가는지 본다</t>
  </si>
  <si>
    <r>
      <rPr>
        <sz val="9"/>
        <color rgb="FF6E6E73"/>
        <rFont val="Noto Sans CJK SC"/>
        <family val="2"/>
      </rPr>
      <t xml:space="preserve">예전에는 숫자가 그냥 글자였습니다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이제 숫자를 누르면 그 목표들만 걸러진 목록으로 넘어갑니다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특히 </t>
    </r>
    <r>
      <rPr>
        <sz val="9"/>
        <color rgb="FF6E6E73"/>
        <rFont val="맑은 고딕"/>
        <family val="0"/>
        <charset val="1"/>
      </rPr>
      <t xml:space="preserve">'</t>
    </r>
    <r>
      <rPr>
        <sz val="9"/>
        <color rgb="FF6E6E73"/>
        <rFont val="Noto Sans CJK SC"/>
        <family val="2"/>
      </rPr>
      <t xml:space="preserve">실적 미입력</t>
    </r>
    <r>
      <rPr>
        <sz val="9"/>
        <color rgb="FF6E6E73"/>
        <rFont val="맑은 고딕"/>
        <family val="0"/>
        <charset val="1"/>
      </rPr>
      <t xml:space="preserve">'</t>
    </r>
    <r>
      <rPr>
        <sz val="9"/>
        <color rgb="FF6E6E73"/>
        <rFont val="Noto Sans CJK SC"/>
        <family val="2"/>
      </rPr>
      <t xml:space="preserve">은 현황이 아니라 실적을 넣는 화면으로 바로 갑니다</t>
    </r>
    <r>
      <rPr>
        <sz val="9"/>
        <color rgb="FF6E6E73"/>
        <rFont val="맑은 고딕"/>
        <family val="0"/>
        <charset val="1"/>
      </rPr>
      <t xml:space="preserve">.</t>
    </r>
  </si>
  <si>
    <t xml:space="preserve">대시보드 화면</t>
  </si>
  <si>
    <r>
      <rPr>
        <sz val="9"/>
        <color rgb="FF1D1D1F"/>
        <rFont val="Noto Sans CJK SC"/>
        <family val="2"/>
      </rPr>
      <t xml:space="preserve">① 맨 위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전체 목표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숫자를 누른다 → 어디로 가는지 본다
② 뒤로 돌아온다
③ 아래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실적 미입력 목표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카드에서 목표 이름 하나를 누른다 → 어디로 가는지 본다
④ 뒤로 돌아와 도넛 그래프의 조각 하나를 누른다</t>
    </r>
  </si>
  <si>
    <r>
      <rPr>
        <sz val="9"/>
        <color rgb="FFB9821F"/>
        <rFont val="Noto Sans CJK SC"/>
        <family val="2"/>
      </rPr>
      <t xml:space="preserve">실적 미입력을 눌렀을 때 </t>
    </r>
    <r>
      <rPr>
        <sz val="9"/>
        <color rgb="FFB9821F"/>
        <rFont val="맑은 고딕"/>
        <family val="0"/>
        <charset val="1"/>
      </rPr>
      <t xml:space="preserve">'</t>
    </r>
    <r>
      <rPr>
        <sz val="9"/>
        <color rgb="FFB9821F"/>
        <rFont val="Noto Sans CJK SC"/>
        <family val="2"/>
      </rPr>
      <t xml:space="preserve">실적 입력</t>
    </r>
    <r>
      <rPr>
        <sz val="9"/>
        <color rgb="FFB9821F"/>
        <rFont val="맑은 고딕"/>
        <family val="0"/>
        <charset val="1"/>
      </rPr>
      <t xml:space="preserve">' </t>
    </r>
    <r>
      <rPr>
        <sz val="9"/>
        <color rgb="FFB9821F"/>
        <rFont val="Noto Sans CJK SC"/>
        <family val="2"/>
      </rPr>
      <t xml:space="preserve">화면이 그 목표가 선택된 채로 열리는지</t>
    </r>
  </si>
  <si>
    <t xml:space="preserve">KW-03</t>
  </si>
  <si>
    <t xml:space="preserve">나의 할 일</t>
  </si>
  <si>
    <r>
      <rPr>
        <b val="true"/>
        <sz val="10"/>
        <color rgb="FF1D1D1F"/>
        <rFont val="Noto Sans CJK SC"/>
        <family val="2"/>
      </rPr>
      <t xml:space="preserve">지금 내가 처리해야 할 목표만 모여 있는지</t>
    </r>
    <r>
      <rPr>
        <b val="true"/>
        <sz val="10"/>
        <color rgb="FF1D1D1F"/>
        <rFont val="맑은 고딕"/>
        <family val="0"/>
        <charset val="1"/>
      </rPr>
      <t xml:space="preserve">, </t>
    </r>
    <r>
      <rPr>
        <b val="true"/>
        <sz val="10"/>
        <color rgb="FF1D1D1F"/>
        <rFont val="Noto Sans CJK SC"/>
        <family val="2"/>
      </rPr>
      <t xml:space="preserve">사업계획 메뉴의 숫자와 맞는지 본다</t>
    </r>
  </si>
  <si>
    <r>
      <rPr>
        <sz val="9"/>
        <color rgb="FF6E6E73"/>
        <rFont val="Noto Sans CJK SC"/>
        <family val="2"/>
      </rPr>
      <t xml:space="preserve">흩어져 있던 </t>
    </r>
    <r>
      <rPr>
        <sz val="9"/>
        <color rgb="FF6E6E73"/>
        <rFont val="맑은 고딕"/>
        <family val="0"/>
        <charset val="1"/>
      </rPr>
      <t xml:space="preserve">'</t>
    </r>
    <r>
      <rPr>
        <sz val="9"/>
        <color rgb="FF6E6E73"/>
        <rFont val="Noto Sans CJK SC"/>
        <family val="2"/>
      </rPr>
      <t xml:space="preserve">내가 할 일</t>
    </r>
    <r>
      <rPr>
        <sz val="9"/>
        <color rgb="FF6E6E73"/>
        <rFont val="맑은 고딕"/>
        <family val="0"/>
        <charset val="1"/>
      </rPr>
      <t xml:space="preserve">'</t>
    </r>
    <r>
      <rPr>
        <sz val="9"/>
        <color rgb="FF6E6E73"/>
        <rFont val="Noto Sans CJK SC"/>
        <family val="2"/>
      </rPr>
      <t xml:space="preserve">을 한 화면에 모았습니다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급한 순서</t>
    </r>
    <r>
      <rPr>
        <sz val="9"/>
        <color rgb="FF6E6E73"/>
        <rFont val="맑은 고딕"/>
        <family val="0"/>
        <charset val="1"/>
      </rPr>
      <t xml:space="preserve">(</t>
    </r>
    <r>
      <rPr>
        <sz val="9"/>
        <color rgb="FF6E6E73"/>
        <rFont val="Noto Sans CJK SC"/>
        <family val="2"/>
      </rPr>
      <t xml:space="preserve">마감 지남 → 남이 넘긴 일 → 내가 멈춰둔 일</t>
    </r>
    <r>
      <rPr>
        <sz val="9"/>
        <color rgb="FF6E6E73"/>
        <rFont val="맑은 고딕"/>
        <family val="0"/>
        <charset val="1"/>
      </rPr>
      <t xml:space="preserve">)</t>
    </r>
    <r>
      <rPr>
        <sz val="9"/>
        <color rgb="FF6E6E73"/>
        <rFont val="Noto Sans CJK SC"/>
        <family val="2"/>
      </rPr>
      <t xml:space="preserve">로 정렬됩니다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</si>
  <si>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Noto Sans CJK SC"/>
        <family val="2"/>
      </rPr>
      <t xml:space="preserve">대시보드 →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나의 할 일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메뉴</t>
    </r>
  </si>
  <si>
    <r>
      <rPr>
        <sz val="9"/>
        <color rgb="FF1D1D1F"/>
        <rFont val="맑은 고딕"/>
        <family val="0"/>
        <charset val="1"/>
      </rPr>
      <t xml:space="preserve">① '</t>
    </r>
    <r>
      <rPr>
        <sz val="9"/>
        <color rgb="FF1D1D1F"/>
        <rFont val="Noto Sans CJK SC"/>
        <family val="2"/>
      </rPr>
      <t xml:space="preserve">나의 할 일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을 연다
② 카드가 몇 장인지 센다
③ 왼쪽 메뉴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사업계획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옆에 붙은 빨간 숫자와 같은지 비교한다
④ 카드 하나를 눌러 해당 화면으로 가는지 본다
⑤ 할 일이 없다면 안내 문구가 뜨는지 본다</t>
    </r>
  </si>
  <si>
    <r>
      <rPr>
        <sz val="9"/>
        <color rgb="FFB9821F"/>
        <rFont val="Noto Sans CJK SC"/>
        <family val="2"/>
      </rPr>
      <t xml:space="preserve">카드 장수와 사업계획 옆 숫자가 같은지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카드를 누르면 바로 그 일을 하는 화면으로 가는지</t>
    </r>
  </si>
  <si>
    <t xml:space="preserve">KW-04</t>
  </si>
  <si>
    <t xml:space="preserve">사업계획 목록</t>
  </si>
  <si>
    <r>
      <rPr>
        <b val="true"/>
        <sz val="10"/>
        <color rgb="FF1D1D1F"/>
        <rFont val="Noto Sans CJK SC"/>
        <family val="2"/>
      </rPr>
      <t xml:space="preserve">같은 전략 이름이 반복될 때 〃로 줄어드는지</t>
    </r>
    <r>
      <rPr>
        <b val="true"/>
        <sz val="10"/>
        <color rgb="FF1D1D1F"/>
        <rFont val="맑은 고딕"/>
        <family val="0"/>
        <charset val="1"/>
      </rPr>
      <t xml:space="preserve">, </t>
    </r>
    <r>
      <rPr>
        <b val="true"/>
        <sz val="10"/>
        <color rgb="FF1D1D1F"/>
        <rFont val="Noto Sans CJK SC"/>
        <family val="2"/>
      </rPr>
      <t xml:space="preserve">펼침 단추가 모든 줄에 있는지 본다</t>
    </r>
  </si>
  <si>
    <r>
      <rPr>
        <sz val="9"/>
        <color rgb="FF6E6E73"/>
        <rFont val="Noto Sans CJK SC"/>
        <family val="2"/>
      </rPr>
      <t xml:space="preserve">회사</t>
    </r>
    <r>
      <rPr>
        <sz val="9"/>
        <color rgb="FF6E6E73"/>
        <rFont val="맑은 고딕"/>
        <family val="0"/>
        <charset val="1"/>
      </rPr>
      <t xml:space="preserve">·</t>
    </r>
    <r>
      <rPr>
        <sz val="9"/>
        <color rgb="FF6E6E73"/>
        <rFont val="Noto Sans CJK SC"/>
        <family val="2"/>
      </rPr>
      <t xml:space="preserve">사업부 이름이 줄마다 반복되던 걸 없앴습니다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전략 이름이 위와 같으면 〃로 줄입니다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〃로 줄어든 줄에서도 펼침 단추</t>
    </r>
    <r>
      <rPr>
        <sz val="9"/>
        <color rgb="FF6E6E73"/>
        <rFont val="맑은 고딕"/>
        <family val="0"/>
        <charset val="1"/>
      </rPr>
      <t xml:space="preserve">(›)</t>
    </r>
    <r>
      <rPr>
        <sz val="9"/>
        <color rgb="FF6E6E73"/>
        <rFont val="Noto Sans CJK SC"/>
        <family val="2"/>
      </rPr>
      <t xml:space="preserve">는 그대로 있어야 합니다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</si>
  <si>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Noto Sans CJK SC"/>
        <family val="2"/>
      </rPr>
      <t xml:space="preserve">사업계획 메뉴 →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전체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탭</t>
    </r>
  </si>
  <si>
    <r>
      <rPr>
        <sz val="9"/>
        <color rgb="FF1D1D1F"/>
        <rFont val="맑은 고딕"/>
        <family val="0"/>
        <charset val="1"/>
      </rPr>
      <t xml:space="preserve">① '</t>
    </r>
    <r>
      <rPr>
        <sz val="9"/>
        <color rgb="FF1D1D1F"/>
        <rFont val="Noto Sans CJK SC"/>
        <family val="2"/>
      </rPr>
      <t xml:space="preserve">전체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탭을 연다
② 신성장 사업부의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신성장동력 발굴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소금사업</t>
    </r>
    <r>
      <rPr>
        <sz val="9"/>
        <color rgb="FF1D1D1F"/>
        <rFont val="맑은 고딕"/>
        <family val="0"/>
        <charset val="1"/>
      </rPr>
      <t xml:space="preserve">)' </t>
    </r>
    <r>
      <rPr>
        <sz val="9"/>
        <color rgb="FF1D1D1F"/>
        <rFont val="Noto Sans CJK SC"/>
        <family val="2"/>
      </rPr>
      <t xml:space="preserve">줄을 찾는다 </t>
    </r>
    <r>
      <rPr>
        <sz val="9"/>
        <color rgb="FF1D1D1F"/>
        <rFont val="맑은 고딕"/>
        <family val="0"/>
        <charset val="1"/>
      </rPr>
      <t xml:space="preserve">(3</t>
    </r>
    <r>
      <rPr>
        <sz val="9"/>
        <color rgb="FF1D1D1F"/>
        <rFont val="Noto Sans CJK SC"/>
        <family val="2"/>
      </rPr>
      <t xml:space="preserve">건이 이어져 있다</t>
    </r>
    <r>
      <rPr>
        <sz val="9"/>
        <color rgb="FF1D1D1F"/>
        <rFont val="맑은 고딕"/>
        <family val="0"/>
        <charset val="1"/>
      </rPr>
      <t xml:space="preserve">)
③ 두 번째·</t>
    </r>
    <r>
      <rPr>
        <sz val="9"/>
        <color rgb="FF1D1D1F"/>
        <rFont val="Noto Sans CJK SC"/>
        <family val="2"/>
      </rPr>
      <t xml:space="preserve">세 번째 줄의 전략 이름 자리가 〃로 되어 있는지 본다
④ 〃로 된 줄의 › 단추를 눌러 펼쳐본다
⑤ 펼쳐진 칸 맨 위에 어느 목표인지 이름이 적혀 있는지 본다
⑥ 탭을 하나씩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내 차례</t>
    </r>
    <r>
      <rPr>
        <sz val="9"/>
        <color rgb="FF1D1D1F"/>
        <rFont val="맑은 고딕"/>
        <family val="0"/>
        <charset val="1"/>
      </rPr>
      <t xml:space="preserve">/</t>
    </r>
    <r>
      <rPr>
        <sz val="9"/>
        <color rgb="FF1D1D1F"/>
        <rFont val="Noto Sans CJK SC"/>
        <family val="2"/>
      </rPr>
      <t xml:space="preserve">작성 중</t>
    </r>
    <r>
      <rPr>
        <sz val="9"/>
        <color rgb="FF1D1D1F"/>
        <rFont val="맑은 고딕"/>
        <family val="0"/>
        <charset val="1"/>
      </rPr>
      <t xml:space="preserve">/</t>
    </r>
    <r>
      <rPr>
        <sz val="9"/>
        <color rgb="FF1D1D1F"/>
        <rFont val="Noto Sans CJK SC"/>
        <family val="2"/>
      </rPr>
      <t xml:space="preserve">검토 중</t>
    </r>
    <r>
      <rPr>
        <sz val="9"/>
        <color rgb="FF1D1D1F"/>
        <rFont val="맑은 고딕"/>
        <family val="0"/>
        <charset val="1"/>
      </rPr>
      <t xml:space="preserve">/</t>
    </r>
    <r>
      <rPr>
        <sz val="9"/>
        <color rgb="FF1D1D1F"/>
        <rFont val="Noto Sans CJK SC"/>
        <family val="2"/>
      </rPr>
      <t xml:space="preserve">확정</t>
    </r>
    <r>
      <rPr>
        <sz val="9"/>
        <color rgb="FF1D1D1F"/>
        <rFont val="맑은 고딕"/>
        <family val="0"/>
        <charset val="1"/>
      </rPr>
      <t xml:space="preserve">) </t>
    </r>
    <r>
      <rPr>
        <sz val="9"/>
        <color rgb="FF1D1D1F"/>
        <rFont val="Noto Sans CJK SC"/>
        <family val="2"/>
      </rPr>
      <t xml:space="preserve">눌러 건수가 바뀌는지 본다</t>
    </r>
  </si>
  <si>
    <r>
      <rPr>
        <sz val="9"/>
        <color rgb="FFB9821F"/>
        <rFont val="Noto Sans CJK SC"/>
        <family val="2"/>
      </rPr>
      <t xml:space="preserve">〃로 줄어든 줄도 펼쳐지는지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펼친 내용이 </t>
    </r>
    <r>
      <rPr>
        <sz val="9"/>
        <color rgb="FFB9821F"/>
        <rFont val="맑은 고딕"/>
        <family val="0"/>
        <charset val="1"/>
      </rPr>
      <t xml:space="preserve">S·M·A·R·T </t>
    </r>
    <r>
      <rPr>
        <sz val="9"/>
        <color rgb="FFB9821F"/>
        <rFont val="Noto Sans CJK SC"/>
        <family val="2"/>
      </rPr>
      <t xml:space="preserve">순서로 세로로 쌓여 있고 각 줄 앞에 점</t>
    </r>
    <r>
      <rPr>
        <sz val="9"/>
        <color rgb="FFB9821F"/>
        <rFont val="맑은 고딕"/>
        <family val="0"/>
        <charset val="1"/>
      </rPr>
      <t xml:space="preserve">(·)</t>
    </r>
    <r>
      <rPr>
        <sz val="9"/>
        <color rgb="FFB9821F"/>
        <rFont val="Noto Sans CJK SC"/>
        <family val="2"/>
      </rPr>
      <t xml:space="preserve">이 붙어 있는지</t>
    </r>
  </si>
  <si>
    <t xml:space="preserve">KW-05</t>
  </si>
  <si>
    <t xml:space="preserve">목표 작성</t>
  </si>
  <si>
    <r>
      <rPr>
        <b val="true"/>
        <sz val="10"/>
        <color rgb="FF1D1D1F"/>
        <rFont val="Noto Sans CJK SC"/>
        <family val="2"/>
      </rPr>
      <t xml:space="preserve">새 목표를 </t>
    </r>
    <r>
      <rPr>
        <b val="true"/>
        <sz val="10"/>
        <color rgb="FF1D1D1F"/>
        <rFont val="맑은 고딕"/>
        <family val="0"/>
        <charset val="1"/>
      </rPr>
      <t xml:space="preserve">3</t>
    </r>
    <r>
      <rPr>
        <b val="true"/>
        <sz val="10"/>
        <color rgb="FF1D1D1F"/>
        <rFont val="Noto Sans CJK SC"/>
        <family val="2"/>
      </rPr>
      <t xml:space="preserve">단계로 작성하면서 자동 저장과 목표값 나누기가 되는지 본다</t>
    </r>
  </si>
  <si>
    <r>
      <rPr>
        <sz val="9"/>
        <color rgb="FF6E6E73"/>
        <rFont val="Noto Sans CJK SC"/>
        <family val="2"/>
      </rPr>
      <t xml:space="preserve">한 화면에 다 있던 입력칸을 </t>
    </r>
    <r>
      <rPr>
        <sz val="9"/>
        <color rgb="FF6E6E73"/>
        <rFont val="맑은 고딕"/>
        <family val="0"/>
        <charset val="1"/>
      </rPr>
      <t xml:space="preserve">3</t>
    </r>
    <r>
      <rPr>
        <sz val="9"/>
        <color rgb="FF6E6E73"/>
        <rFont val="Noto Sans CJK SC"/>
        <family val="2"/>
      </rPr>
      <t xml:space="preserve">단계로 나눴습니다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중간에 자동 저장되고</t>
    </r>
    <r>
      <rPr>
        <sz val="9"/>
        <color rgb="FF6E6E73"/>
        <rFont val="맑은 고딕"/>
        <family val="0"/>
        <charset val="1"/>
      </rPr>
      <t xml:space="preserve">, </t>
    </r>
    <r>
      <rPr>
        <sz val="9"/>
        <color rgb="FF6E6E73"/>
        <rFont val="Noto Sans CJK SC"/>
        <family val="2"/>
      </rPr>
      <t xml:space="preserve">연간 목표값을 넣으면 월별로 자동 분배됩니다</t>
    </r>
    <r>
      <rPr>
        <sz val="9"/>
        <color rgb="FF6E6E73"/>
        <rFont val="맑은 고딕"/>
        <family val="0"/>
        <charset val="1"/>
      </rPr>
      <t xml:space="preserve">. SMART </t>
    </r>
    <r>
      <rPr>
        <sz val="9"/>
        <color rgb="FF6E6E73"/>
        <rFont val="Noto Sans CJK SC"/>
        <family val="2"/>
      </rPr>
      <t xml:space="preserve">다섯 칸은 모두 선택 항목입니다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</si>
  <si>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Noto Sans CJK SC"/>
        <family val="2"/>
      </rPr>
      <t xml:space="preserve">사업계획 →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새 목표 작성</t>
    </r>
    <r>
      <rPr>
        <sz val="9"/>
        <color rgb="FF1D1D1F"/>
        <rFont val="맑은 고딕"/>
        <family val="0"/>
        <charset val="1"/>
      </rPr>
      <t xml:space="preserve">'. </t>
    </r>
    <r>
      <rPr>
        <sz val="9"/>
        <color rgb="FF1D1D1F"/>
        <rFont val="Noto Sans CJK SC"/>
        <family val="2"/>
      </rPr>
      <t xml:space="preserve">테스트용이므로 전략 이름 앞에 </t>
    </r>
    <r>
      <rPr>
        <sz val="9"/>
        <color rgb="FF1D1D1F"/>
        <rFont val="맑은 고딕"/>
        <family val="0"/>
        <charset val="1"/>
      </rPr>
      <t xml:space="preserve">[</t>
    </r>
    <r>
      <rPr>
        <sz val="9"/>
        <color rgb="FF1D1D1F"/>
        <rFont val="Noto Sans CJK SC"/>
        <family val="2"/>
      </rPr>
      <t xml:space="preserve">테스트</t>
    </r>
    <r>
      <rPr>
        <sz val="9"/>
        <color rgb="FF1D1D1F"/>
        <rFont val="맑은 고딕"/>
        <family val="0"/>
        <charset val="1"/>
      </rPr>
      <t xml:space="preserve">] </t>
    </r>
    <r>
      <rPr>
        <sz val="9"/>
        <color rgb="FF1D1D1F"/>
        <rFont val="Noto Sans CJK SC"/>
        <family val="2"/>
      </rPr>
      <t xml:space="preserve">를 붙여주세요</t>
    </r>
  </si>
  <si>
    <r>
      <rPr>
        <sz val="9"/>
        <color rgb="FF1D1D1F"/>
        <rFont val="맑은 고딕"/>
        <family val="0"/>
        <charset val="1"/>
      </rPr>
      <t xml:space="preserve">① 1</t>
    </r>
    <r>
      <rPr>
        <sz val="9"/>
        <color rgb="FF1D1D1F"/>
        <rFont val="Noto Sans CJK SC"/>
        <family val="2"/>
      </rPr>
      <t xml:space="preserve">단계</t>
    </r>
    <r>
      <rPr>
        <sz val="9"/>
        <color rgb="FF1D1D1F"/>
        <rFont val="맑은 고딕"/>
        <family val="0"/>
        <charset val="1"/>
      </rPr>
      <t xml:space="preserve">: </t>
    </r>
    <r>
      <rPr>
        <sz val="9"/>
        <color rgb="FF1D1D1F"/>
        <rFont val="Noto Sans CJK SC"/>
        <family val="2"/>
      </rPr>
      <t xml:space="preserve">사업부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영업</t>
    </r>
    <r>
      <rPr>
        <sz val="9"/>
        <color rgb="FF1D1D1F"/>
        <rFont val="맑은 고딕"/>
        <family val="0"/>
        <charset val="1"/>
      </rPr>
      <t xml:space="preserve">', </t>
    </r>
    <r>
      <rPr>
        <sz val="9"/>
        <color rgb="FF1D1D1F"/>
        <rFont val="Noto Sans CJK SC"/>
        <family val="2"/>
      </rPr>
      <t xml:space="preserve">전략 이름 </t>
    </r>
    <r>
      <rPr>
        <sz val="9"/>
        <color rgb="FF1D1D1F"/>
        <rFont val="맑은 고딕"/>
        <family val="0"/>
        <charset val="1"/>
      </rPr>
      <t xml:space="preserve">'[</t>
    </r>
    <r>
      <rPr>
        <sz val="9"/>
        <color rgb="FF1D1D1F"/>
        <rFont val="Noto Sans CJK SC"/>
        <family val="2"/>
      </rPr>
      <t xml:space="preserve">테스트</t>
    </r>
    <r>
      <rPr>
        <sz val="9"/>
        <color rgb="FF1D1D1F"/>
        <rFont val="맑은 고딕"/>
        <family val="0"/>
        <charset val="1"/>
      </rPr>
      <t xml:space="preserve">] </t>
    </r>
    <r>
      <rPr>
        <sz val="9"/>
        <color rgb="FF1D1D1F"/>
        <rFont val="Noto Sans CJK SC"/>
        <family val="2"/>
      </rPr>
      <t xml:space="preserve">류원준 작성확인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입력
② 2단계로 넘어가 </t>
    </r>
    <r>
      <rPr>
        <sz val="9"/>
        <color rgb="FF1D1D1F"/>
        <rFont val="맑은 고딕"/>
        <family val="0"/>
        <charset val="1"/>
      </rPr>
      <t xml:space="preserve">KPI </t>
    </r>
    <r>
      <rPr>
        <sz val="9"/>
        <color rgb="FF1D1D1F"/>
        <rFont val="Noto Sans CJK SC"/>
        <family val="2"/>
      </rPr>
      <t xml:space="preserve">지표를 초성으로 검색해본다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예</t>
    </r>
    <r>
      <rPr>
        <sz val="9"/>
        <color rgb="FF1D1D1F"/>
        <rFont val="맑은 고딕"/>
        <family val="0"/>
        <charset val="1"/>
      </rPr>
      <t xml:space="preserve">: </t>
    </r>
    <r>
      <rPr>
        <sz val="9"/>
        <color rgb="FF1D1D1F"/>
        <rFont val="Noto Sans CJK SC"/>
        <family val="2"/>
      </rPr>
      <t xml:space="preserve">ㅁㅊ → 매출</t>
    </r>
    <r>
      <rPr>
        <sz val="9"/>
        <color rgb="FF1D1D1F"/>
        <rFont val="맑은 고딕"/>
        <family val="0"/>
        <charset val="1"/>
      </rPr>
      <t xml:space="preserve">)
③ 지표를 고르고 연간 목표값 1200 </t>
    </r>
    <r>
      <rPr>
        <sz val="9"/>
        <color rgb="FF1D1D1F"/>
        <rFont val="Noto Sans CJK SC"/>
        <family val="2"/>
      </rPr>
      <t xml:space="preserve">입력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단위는 비워둔 채 제출을 눌러본다
④ 단위를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백만원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으로 채운다
⑤ '월별로 나누기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기능으로 목표값이 분배되는지 본다
⑥ 3단계로 가서 </t>
    </r>
    <r>
      <rPr>
        <sz val="9"/>
        <color rgb="FF1D1D1F"/>
        <rFont val="맑은 고딕"/>
        <family val="0"/>
        <charset val="1"/>
      </rPr>
      <t xml:space="preserve">SMART</t>
    </r>
    <r>
      <rPr>
        <sz val="9"/>
        <color rgb="FF1D1D1F"/>
        <rFont val="Noto Sans CJK SC"/>
        <family val="2"/>
      </rPr>
      <t xml:space="preserve">를 하나도 안 쓴 채로 제출해본다</t>
    </r>
  </si>
  <si>
    <r>
      <rPr>
        <sz val="9"/>
        <color rgb="FFB9821F"/>
        <rFont val="Noto Sans CJK SC"/>
        <family val="2"/>
      </rPr>
      <t xml:space="preserve">단위를 비우면 제출이 막히는지</t>
    </r>
    <r>
      <rPr>
        <sz val="9"/>
        <color rgb="FFB9821F"/>
        <rFont val="맑은 고딕"/>
        <family val="0"/>
        <charset val="1"/>
      </rPr>
      <t xml:space="preserve">, SMART</t>
    </r>
    <r>
      <rPr>
        <sz val="9"/>
        <color rgb="FFB9821F"/>
        <rFont val="Noto Sans CJK SC"/>
        <family val="2"/>
      </rPr>
      <t xml:space="preserve">를 비워도 제출이 되는지</t>
    </r>
    <r>
      <rPr>
        <sz val="9"/>
        <color rgb="FFB9821F"/>
        <rFont val="맑은 고딕"/>
        <family val="0"/>
        <charset val="1"/>
      </rPr>
      <t xml:space="preserve">, 1</t>
    </r>
    <r>
      <rPr>
        <sz val="9"/>
        <color rgb="FFB9821F"/>
        <rFont val="Noto Sans CJK SC"/>
        <family val="2"/>
      </rPr>
      <t xml:space="preserve">단계로 돌아가도 쓴 내용이 남아 있는지</t>
    </r>
  </si>
  <si>
    <t xml:space="preserve">KW-06</t>
  </si>
  <si>
    <r>
      <rPr>
        <sz val="9"/>
        <color rgb="FF1D1D1F"/>
        <rFont val="Noto Sans CJK SC"/>
        <family val="2"/>
      </rPr>
      <t xml:space="preserve">목표 작성 </t>
    </r>
    <r>
      <rPr>
        <sz val="9"/>
        <color rgb="FF1D1D1F"/>
        <rFont val="맑은 고딕"/>
        <family val="0"/>
        <charset val="1"/>
      </rPr>
      <t xml:space="preserve">· </t>
    </r>
    <r>
      <rPr>
        <sz val="9"/>
        <color rgb="FF1D1D1F"/>
        <rFont val="Noto Sans CJK SC"/>
        <family val="2"/>
      </rPr>
      <t xml:space="preserve">목록</t>
    </r>
  </si>
  <si>
    <t xml:space="preserve">제출을 막는 조건이 목록에서 미리 보이는지 본다</t>
  </si>
  <si>
    <r>
      <rPr>
        <sz val="9"/>
        <color rgb="FF6E6E73"/>
        <rFont val="Noto Sans CJK SC"/>
        <family val="2"/>
      </rPr>
      <t xml:space="preserve">목록의 상태칸 아래에 </t>
    </r>
    <r>
      <rPr>
        <sz val="9"/>
        <color rgb="FF6E6E73"/>
        <rFont val="맑은 고딕"/>
        <family val="0"/>
        <charset val="1"/>
      </rPr>
      <t xml:space="preserve">'</t>
    </r>
    <r>
      <rPr>
        <sz val="9"/>
        <color rgb="FF6E6E73"/>
        <rFont val="Noto Sans CJK SC"/>
        <family val="2"/>
      </rPr>
      <t xml:space="preserve">제출 가능</t>
    </r>
    <r>
      <rPr>
        <sz val="9"/>
        <color rgb="FF6E6E73"/>
        <rFont val="맑은 고딕"/>
        <family val="0"/>
        <charset val="1"/>
      </rPr>
      <t xml:space="preserve">' </t>
    </r>
    <r>
      <rPr>
        <sz val="9"/>
        <color rgb="FF6E6E73"/>
        <rFont val="Noto Sans CJK SC"/>
        <family val="2"/>
      </rPr>
      <t xml:space="preserve">또는 </t>
    </r>
    <r>
      <rPr>
        <sz val="9"/>
        <color rgb="FF6E6E73"/>
        <rFont val="맑은 고딕"/>
        <family val="0"/>
        <charset val="1"/>
      </rPr>
      <t xml:space="preserve">'</t>
    </r>
    <r>
      <rPr>
        <sz val="9"/>
        <color rgb="FF6E6E73"/>
        <rFont val="Noto Sans CJK SC"/>
        <family val="2"/>
      </rPr>
      <t xml:space="preserve">무엇이 더 필요한지</t>
    </r>
    <r>
      <rPr>
        <sz val="9"/>
        <color rgb="FF6E6E73"/>
        <rFont val="맑은 고딕"/>
        <family val="0"/>
        <charset val="1"/>
      </rPr>
      <t xml:space="preserve">'</t>
    </r>
    <r>
      <rPr>
        <sz val="9"/>
        <color rgb="FF6E6E73"/>
        <rFont val="Noto Sans CJK SC"/>
        <family val="2"/>
      </rPr>
      <t xml:space="preserve">가 미리 뜹니다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열어보고 나서야 빈칸을 발견하는 일을 없애기 위한 것입니다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</si>
  <si>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Noto Sans CJK SC"/>
        <family val="2"/>
      </rPr>
      <t xml:space="preserve">사업계획 →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작성 중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탭</t>
    </r>
  </si>
  <si>
    <r>
      <rPr>
        <sz val="9"/>
        <color rgb="FF1D1D1F"/>
        <rFont val="맑은 고딕"/>
        <family val="0"/>
        <charset val="1"/>
      </rPr>
      <t xml:space="preserve">① '</t>
    </r>
    <r>
      <rPr>
        <sz val="9"/>
        <color rgb="FF1D1D1F"/>
        <rFont val="Noto Sans CJK SC"/>
        <family val="2"/>
      </rPr>
      <t xml:space="preserve">작성 중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탭을 연다
② 전사 공통 </t>
    </r>
    <r>
      <rPr>
        <sz val="9"/>
        <color rgb="FF1D1D1F"/>
        <rFont val="맑은 고딕"/>
        <family val="0"/>
        <charset val="1"/>
      </rPr>
      <t xml:space="preserve">2</t>
    </r>
    <r>
      <rPr>
        <sz val="9"/>
        <color rgb="FF1D1D1F"/>
        <rFont val="Noto Sans CJK SC"/>
        <family val="2"/>
      </rPr>
      <t xml:space="preserve">번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전략 이름 </t>
    </r>
    <r>
      <rPr>
        <sz val="9"/>
        <color rgb="FF1D1D1F"/>
        <rFont val="맑은 고딕"/>
        <family val="0"/>
        <charset val="1"/>
      </rPr>
      <t xml:space="preserve">'1')</t>
    </r>
    <r>
      <rPr>
        <sz val="9"/>
        <color rgb="FF1D1D1F"/>
        <rFont val="Noto Sans CJK SC"/>
        <family val="2"/>
      </rPr>
      <t xml:space="preserve">의 상태칸 아래 문구를 읽는다 → </t>
    </r>
    <r>
      <rPr>
        <sz val="9"/>
        <color rgb="FF1D1D1F"/>
        <rFont val="맑은 고딕"/>
        <family val="0"/>
        <charset val="1"/>
      </rPr>
      <t xml:space="preserve">'KPI </t>
    </r>
    <r>
      <rPr>
        <sz val="9"/>
        <color rgb="FF1D1D1F"/>
        <rFont val="Noto Sans CJK SC"/>
        <family val="2"/>
      </rPr>
      <t xml:space="preserve">지표 필요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라고 뜨는지
③ 신성장 </t>
    </r>
    <r>
      <rPr>
        <sz val="9"/>
        <color rgb="FF1D1D1F"/>
        <rFont val="맑은 고딕"/>
        <family val="0"/>
        <charset val="1"/>
      </rPr>
      <t xml:space="preserve">2</t>
    </r>
    <r>
      <rPr>
        <sz val="9"/>
        <color rgb="FF1D1D1F"/>
        <rFont val="Noto Sans CJK SC"/>
        <family val="2"/>
      </rPr>
      <t xml:space="preserve">번</t>
    </r>
    <r>
      <rPr>
        <sz val="9"/>
        <color rgb="FF1D1D1F"/>
        <rFont val="맑은 고딕"/>
        <family val="0"/>
        <charset val="1"/>
      </rPr>
      <t xml:space="preserve">('</t>
    </r>
    <r>
      <rPr>
        <sz val="9"/>
        <color rgb="FF1D1D1F"/>
        <rFont val="Noto Sans CJK SC"/>
        <family val="2"/>
      </rPr>
      <t xml:space="preserve">신성장동력 발굴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소금사업</t>
    </r>
    <r>
      <rPr>
        <sz val="9"/>
        <color rgb="FF1D1D1F"/>
        <rFont val="맑은 고딕"/>
        <family val="0"/>
        <charset val="1"/>
      </rPr>
      <t xml:space="preserve">)', </t>
    </r>
    <r>
      <rPr>
        <sz val="9"/>
        <color rgb="FF1D1D1F"/>
        <rFont val="Noto Sans CJK SC"/>
        <family val="2"/>
      </rPr>
      <t xml:space="preserve">소금 원가율</t>
    </r>
    <r>
      <rPr>
        <sz val="9"/>
        <color rgb="FF1D1D1F"/>
        <rFont val="맑은 고딕"/>
        <family val="0"/>
        <charset val="1"/>
      </rPr>
      <t xml:space="preserve">)</t>
    </r>
    <r>
      <rPr>
        <sz val="9"/>
        <color rgb="FF1D1D1F"/>
        <rFont val="Noto Sans CJK SC"/>
        <family val="2"/>
      </rPr>
      <t xml:space="preserve">의 문구를 읽는다 →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목표값 필요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라고 뜨는지
④ 전사 공통 </t>
    </r>
    <r>
      <rPr>
        <sz val="9"/>
        <color rgb="FF1D1D1F"/>
        <rFont val="맑은 고딕"/>
        <family val="0"/>
        <charset val="1"/>
      </rPr>
      <t xml:space="preserve">1</t>
    </r>
    <r>
      <rPr>
        <sz val="9"/>
        <color rgb="FF1D1D1F"/>
        <rFont val="Noto Sans CJK SC"/>
        <family val="2"/>
      </rPr>
      <t xml:space="preserve">번</t>
    </r>
    <r>
      <rPr>
        <sz val="9"/>
        <color rgb="FF1D1D1F"/>
        <rFont val="맑은 고딕"/>
        <family val="0"/>
        <charset val="1"/>
      </rPr>
      <t xml:space="preserve">('</t>
    </r>
    <r>
      <rPr>
        <sz val="9"/>
        <color rgb="FF1D1D1F"/>
        <rFont val="Noto Sans CJK SC"/>
        <family val="2"/>
      </rPr>
      <t xml:space="preserve">미지정 테스트</t>
    </r>
    <r>
      <rPr>
        <sz val="9"/>
        <color rgb="FF1D1D1F"/>
        <rFont val="맑은 고딕"/>
        <family val="0"/>
        <charset val="1"/>
      </rPr>
      <t xml:space="preserve">')</t>
    </r>
    <r>
      <rPr>
        <sz val="9"/>
        <color rgb="FF1D1D1F"/>
        <rFont val="Noto Sans CJK SC"/>
        <family val="2"/>
      </rPr>
      <t xml:space="preserve">의 문구를 읽는다 →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제출 가능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이라고 뜨는지
⑤ ②번 목표를 열어 실제로 제출을 눌러본다</t>
    </r>
  </si>
  <si>
    <t xml:space="preserve">목록에 적힌 사유와 실제로 제출을 막는 사유가 같은지</t>
  </si>
  <si>
    <t xml:space="preserve">KW-07</t>
  </si>
  <si>
    <t xml:space="preserve">결재 흐름</t>
  </si>
  <si>
    <t xml:space="preserve">작성 → 제출 → 검토 → 보완 요청 → 다시 제출 → 합의 를 한 바퀴 돌려본다</t>
  </si>
  <si>
    <r>
      <rPr>
        <sz val="9"/>
        <color rgb="FF6E6E73"/>
        <rFont val="맑은 고딕"/>
        <family val="0"/>
        <charset val="1"/>
      </rPr>
      <t xml:space="preserve">3</t>
    </r>
    <r>
      <rPr>
        <sz val="9"/>
        <color rgb="FF6E6E73"/>
        <rFont val="Noto Sans CJK SC"/>
        <family val="2"/>
      </rPr>
      <t xml:space="preserve">단계 결재</t>
    </r>
    <r>
      <rPr>
        <sz val="9"/>
        <color rgb="FF6E6E73"/>
        <rFont val="맑은 고딕"/>
        <family val="0"/>
        <charset val="1"/>
      </rPr>
      <t xml:space="preserve">(</t>
    </r>
    <r>
      <rPr>
        <sz val="9"/>
        <color rgb="FF6E6E73"/>
        <rFont val="Noto Sans CJK SC"/>
        <family val="2"/>
      </rPr>
      <t xml:space="preserve">사업부 → 계열사 → 지주사</t>
    </r>
    <r>
      <rPr>
        <sz val="9"/>
        <color rgb="FF6E6E73"/>
        <rFont val="맑은 고딕"/>
        <family val="0"/>
        <charset val="1"/>
      </rPr>
      <t xml:space="preserve">)</t>
    </r>
    <r>
      <rPr>
        <sz val="9"/>
        <color rgb="FF6E6E73"/>
        <rFont val="Noto Sans CJK SC"/>
        <family val="2"/>
      </rPr>
      <t xml:space="preserve">는 그대로입니다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다만 계열사 담당자는 작성과 검토를 겸하므로</t>
    </r>
    <r>
      <rPr>
        <sz val="9"/>
        <color rgb="FF6E6E73"/>
        <rFont val="맑은 고딕"/>
        <family val="0"/>
        <charset val="1"/>
      </rPr>
      <t xml:space="preserve">, </t>
    </r>
    <r>
      <rPr>
        <sz val="9"/>
        <color rgb="FF6E6E73"/>
        <rFont val="Noto Sans CJK SC"/>
        <family val="2"/>
      </rPr>
      <t xml:space="preserve">본인이 제출한 것을 본인이 검토할 수 있습니다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</si>
  <si>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맑은 고딕"/>
        <family val="0"/>
        <charset val="1"/>
      </rPr>
      <t xml:space="preserve">KW-05</t>
    </r>
    <r>
      <rPr>
        <sz val="9"/>
        <color rgb="FF1D1D1F"/>
        <rFont val="Noto Sans CJK SC"/>
        <family val="2"/>
      </rPr>
      <t xml:space="preserve">에서 만든 </t>
    </r>
    <r>
      <rPr>
        <sz val="9"/>
        <color rgb="FF1D1D1F"/>
        <rFont val="맑은 고딕"/>
        <family val="0"/>
        <charset val="1"/>
      </rPr>
      <t xml:space="preserve">'[</t>
    </r>
    <r>
      <rPr>
        <sz val="9"/>
        <color rgb="FF1D1D1F"/>
        <rFont val="Noto Sans CJK SC"/>
        <family val="2"/>
      </rPr>
      <t xml:space="preserve">테스트</t>
    </r>
    <r>
      <rPr>
        <sz val="9"/>
        <color rgb="FF1D1D1F"/>
        <rFont val="맑은 고딕"/>
        <family val="0"/>
        <charset val="1"/>
      </rPr>
      <t xml:space="preserve">] </t>
    </r>
    <r>
      <rPr>
        <sz val="9"/>
        <color rgb="FF1D1D1F"/>
        <rFont val="Noto Sans CJK SC"/>
        <family val="2"/>
      </rPr>
      <t xml:space="preserve">류원준 작성확인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목표 사용</t>
    </r>
  </si>
  <si>
    <r>
      <rPr>
        <sz val="9"/>
        <color rgb="FF1D1D1F"/>
        <rFont val="Noto Sans CJK SC"/>
        <family val="2"/>
      </rPr>
      <t xml:space="preserve">① 그 목표를 제출한다 → 상태가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검토 중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으로 바뀌는지 본다
② '나의 할 일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에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검토할 차례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로 올라오는지 본다
③ 검토 화면을 열어 지표 표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지표명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목표값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단위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작년</t>
    </r>
    <r>
      <rPr>
        <sz val="9"/>
        <color rgb="FF1D1D1F"/>
        <rFont val="맑은 고딕"/>
        <family val="0"/>
        <charset val="1"/>
      </rPr>
      <t xml:space="preserve">)</t>
    </r>
    <r>
      <rPr>
        <sz val="9"/>
        <color rgb="FF1D1D1F"/>
        <rFont val="Noto Sans CJK SC"/>
        <family val="2"/>
      </rPr>
      <t xml:space="preserve">가 보이는지 본다
④ '보완 요청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을 누르고 사유를 적는다
⑤ 목록에서 그 목표의 상태와 사유가 보이는지 본다
⑥ 수정해서 다시 제출하고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이번엔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합의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를 누른다</t>
    </r>
  </si>
  <si>
    <r>
      <rPr>
        <sz val="9"/>
        <color rgb="FFB9821F"/>
        <rFont val="Noto Sans CJK SC"/>
        <family val="2"/>
      </rPr>
      <t xml:space="preserve">각 단계에서 상태 이름이 작성 중 → 검토 중 → 보완 요청 → 검토 중 → </t>
    </r>
    <r>
      <rPr>
        <sz val="9"/>
        <color rgb="FFB9821F"/>
        <rFont val="맑은 고딕"/>
        <family val="0"/>
        <charset val="1"/>
      </rPr>
      <t xml:space="preserve">(</t>
    </r>
    <r>
      <rPr>
        <sz val="9"/>
        <color rgb="FFB9821F"/>
        <rFont val="Noto Sans CJK SC"/>
        <family val="2"/>
      </rPr>
      <t xml:space="preserve">지주사 확정 대기</t>
    </r>
    <r>
      <rPr>
        <sz val="9"/>
        <color rgb="FFB9821F"/>
        <rFont val="맑은 고딕"/>
        <family val="0"/>
        <charset val="1"/>
      </rPr>
      <t xml:space="preserve">) </t>
    </r>
    <r>
      <rPr>
        <sz val="9"/>
        <color rgb="FFB9821F"/>
        <rFont val="Noto Sans CJK SC"/>
        <family val="2"/>
      </rPr>
      <t xml:space="preserve">로 바뀌는지</t>
    </r>
  </si>
  <si>
    <t xml:space="preserve">KW-08</t>
  </si>
  <si>
    <t xml:space="preserve">제출취소</t>
  </si>
  <si>
    <t xml:space="preserve">지주사 확정을 기다리는 목표를 다시 회수할 수 있는지 본다</t>
  </si>
  <si>
    <r>
      <rPr>
        <sz val="9"/>
        <color rgb="FF6E6E73"/>
        <rFont val="Noto Sans CJK SC"/>
        <family val="2"/>
      </rPr>
      <t xml:space="preserve">계열사 담당자는 지주사가 확정하기 전까지 제출을 되돌릴 수 있습니다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</si>
  <si>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Noto Sans CJK SC"/>
        <family val="2"/>
      </rPr>
      <t xml:space="preserve">생산 </t>
    </r>
    <r>
      <rPr>
        <sz val="9"/>
        <color rgb="FF1D1D1F"/>
        <rFont val="맑은 고딕"/>
        <family val="0"/>
        <charset val="1"/>
      </rPr>
      <t xml:space="preserve">4</t>
    </r>
    <r>
      <rPr>
        <sz val="9"/>
        <color rgb="FF1D1D1F"/>
        <rFont val="Noto Sans CJK SC"/>
        <family val="2"/>
      </rPr>
      <t xml:space="preserve">번</t>
    </r>
    <r>
      <rPr>
        <sz val="9"/>
        <color rgb="FF1D1D1F"/>
        <rFont val="맑은 고딕"/>
        <family val="0"/>
        <charset val="1"/>
      </rPr>
      <t xml:space="preserve">('</t>
    </r>
    <r>
      <rPr>
        <sz val="9"/>
        <color rgb="FF1D1D1F"/>
        <rFont val="Noto Sans CJK SC"/>
        <family val="2"/>
      </rPr>
      <t xml:space="preserve">생산성 향상</t>
    </r>
    <r>
      <rPr>
        <sz val="9"/>
        <color rgb="FF1D1D1F"/>
        <rFont val="맑은 고딕"/>
        <family val="0"/>
        <charset val="1"/>
      </rPr>
      <t xml:space="preserve">....') </t>
    </r>
    <r>
      <rPr>
        <sz val="9"/>
        <color rgb="FF1D1D1F"/>
        <rFont val="Noto Sans CJK SC"/>
        <family val="2"/>
      </rPr>
      <t xml:space="preserve">또는 신성장 </t>
    </r>
    <r>
      <rPr>
        <sz val="9"/>
        <color rgb="FF1D1D1F"/>
        <rFont val="맑은 고딕"/>
        <family val="0"/>
        <charset val="1"/>
      </rPr>
      <t xml:space="preserve">1</t>
    </r>
    <r>
      <rPr>
        <sz val="9"/>
        <color rgb="FF1D1D1F"/>
        <rFont val="Noto Sans CJK SC"/>
        <family val="2"/>
      </rPr>
      <t xml:space="preserve">번</t>
    </r>
    <r>
      <rPr>
        <sz val="9"/>
        <color rgb="FF1D1D1F"/>
        <rFont val="맑은 고딕"/>
        <family val="0"/>
        <charset val="1"/>
      </rPr>
      <t xml:space="preserve">('</t>
    </r>
    <r>
      <rPr>
        <sz val="9"/>
        <color rgb="FF1D1D1F"/>
        <rFont val="Noto Sans CJK SC"/>
        <family val="2"/>
      </rPr>
      <t xml:space="preserve">신성장동력 발굴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소금사업</t>
    </r>
    <r>
      <rPr>
        <sz val="9"/>
        <color rgb="FF1D1D1F"/>
        <rFont val="맑은 고딕"/>
        <family val="0"/>
        <charset val="1"/>
      </rPr>
      <t xml:space="preserve">)') — </t>
    </r>
    <r>
      <rPr>
        <sz val="9"/>
        <color rgb="FF1D1D1F"/>
        <rFont val="Noto Sans CJK SC"/>
        <family val="2"/>
      </rPr>
      <t xml:space="preserve">지주사 확정 대기 상태</t>
    </r>
  </si>
  <si>
    <r>
      <rPr>
        <sz val="9"/>
        <color rgb="FF1D1D1F"/>
        <rFont val="Noto Sans CJK SC"/>
        <family val="2"/>
      </rPr>
      <t xml:space="preserve">① 그 목표의 상세 화면을 연다
② 위쪽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지금 할 일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문구를 읽는다 → 누구를 기다리는 중이라고 적혀 있는지
③ '제출취소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단추를 누른다
④ 되돌아간 상태를 확인한다
⑤ 맨 아래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검토 </t>
    </r>
    <r>
      <rPr>
        <sz val="9"/>
        <color rgb="FF1D1D1F"/>
        <rFont val="맑은 고딕"/>
        <family val="0"/>
        <charset val="1"/>
      </rPr>
      <t xml:space="preserve">· </t>
    </r>
    <r>
      <rPr>
        <sz val="9"/>
        <color rgb="FF1D1D1F"/>
        <rFont val="Noto Sans CJK SC"/>
        <family val="2"/>
      </rPr>
      <t xml:space="preserve">합의 이력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을 펼쳐 제출취소 기록이 남았는지 본다</t>
    </r>
  </si>
  <si>
    <r>
      <rPr>
        <sz val="9"/>
        <color rgb="FFB9821F"/>
        <rFont val="Noto Sans CJK SC"/>
        <family val="2"/>
      </rPr>
      <t xml:space="preserve">제출취소 후 상태가 </t>
    </r>
    <r>
      <rPr>
        <sz val="9"/>
        <color rgb="FFB9821F"/>
        <rFont val="맑은 고딕"/>
        <family val="0"/>
        <charset val="1"/>
      </rPr>
      <t xml:space="preserve">'</t>
    </r>
    <r>
      <rPr>
        <sz val="9"/>
        <color rgb="FFB9821F"/>
        <rFont val="Noto Sans CJK SC"/>
        <family val="2"/>
      </rPr>
      <t xml:space="preserve">검토 중</t>
    </r>
    <r>
      <rPr>
        <sz val="9"/>
        <color rgb="FFB9821F"/>
        <rFont val="맑은 고딕"/>
        <family val="0"/>
        <charset val="1"/>
      </rPr>
      <t xml:space="preserve">'</t>
    </r>
    <r>
      <rPr>
        <sz val="9"/>
        <color rgb="FFB9821F"/>
        <rFont val="Noto Sans CJK SC"/>
        <family val="2"/>
      </rPr>
      <t xml:space="preserve">으로 돌아가는지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이력에 기록이 남는지</t>
    </r>
  </si>
  <si>
    <t xml:space="preserve">KW-09</t>
  </si>
  <si>
    <t xml:space="preserve">실적 입력</t>
  </si>
  <si>
    <r>
      <rPr>
        <b val="true"/>
        <sz val="10"/>
        <color rgb="FF1D1D1F"/>
        <rFont val="Noto Sans CJK SC"/>
        <family val="2"/>
      </rPr>
      <t xml:space="preserve">이번 달 실적을 넣고</t>
    </r>
    <r>
      <rPr>
        <b val="true"/>
        <sz val="10"/>
        <color rgb="FF1D1D1F"/>
        <rFont val="맑은 고딕"/>
        <family val="0"/>
        <charset val="1"/>
      </rPr>
      <t xml:space="preserve">, </t>
    </r>
    <r>
      <rPr>
        <b val="true"/>
        <sz val="10"/>
        <color rgb="FF1D1D1F"/>
        <rFont val="Noto Sans CJK SC"/>
        <family val="2"/>
      </rPr>
      <t xml:space="preserve">엑셀에서 복사한 값을 한 번에 붙여넣어 본다</t>
    </r>
  </si>
  <si>
    <r>
      <rPr>
        <sz val="9"/>
        <color rgb="FF6E6E73"/>
        <rFont val="Noto Sans CJK SC"/>
        <family val="2"/>
      </rPr>
      <t xml:space="preserve">실적 입력 화면이 </t>
    </r>
    <r>
      <rPr>
        <sz val="9"/>
        <color rgb="FF6E6E73"/>
        <rFont val="맑은 고딕"/>
        <family val="0"/>
        <charset val="1"/>
      </rPr>
      <t xml:space="preserve">'</t>
    </r>
    <r>
      <rPr>
        <sz val="9"/>
        <color rgb="FF6E6E73"/>
        <rFont val="Noto Sans CJK SC"/>
        <family val="2"/>
      </rPr>
      <t xml:space="preserve">이번 기간</t>
    </r>
    <r>
      <rPr>
        <sz val="9"/>
        <color rgb="FF6E6E73"/>
        <rFont val="맑은 고딕"/>
        <family val="0"/>
        <charset val="1"/>
      </rPr>
      <t xml:space="preserve">'</t>
    </r>
    <r>
      <rPr>
        <sz val="9"/>
        <color rgb="FF6E6E73"/>
        <rFont val="Noto Sans CJK SC"/>
        <family val="2"/>
      </rPr>
      <t xml:space="preserve">과 </t>
    </r>
    <r>
      <rPr>
        <sz val="9"/>
        <color rgb="FF6E6E73"/>
        <rFont val="맑은 고딕"/>
        <family val="0"/>
        <charset val="1"/>
      </rPr>
      <t xml:space="preserve">'</t>
    </r>
    <r>
      <rPr>
        <sz val="9"/>
        <color rgb="FF6E6E73"/>
        <rFont val="Noto Sans CJK SC"/>
        <family val="2"/>
      </rPr>
      <t xml:space="preserve">한 해 전체 보기</t>
    </r>
    <r>
      <rPr>
        <sz val="9"/>
        <color rgb="FF6E6E73"/>
        <rFont val="맑은 고딕"/>
        <family val="0"/>
        <charset val="1"/>
      </rPr>
      <t xml:space="preserve">' </t>
    </r>
    <r>
      <rPr>
        <sz val="9"/>
        <color rgb="FF6E6E73"/>
        <rFont val="Noto Sans CJK SC"/>
        <family val="2"/>
      </rPr>
      <t xml:space="preserve">두 탭으로 나뉘었습니다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엑셀에서 세로로 복사한 여러 달치 값을 한 칸에 붙여넣으면 아래로 쭉 채워집니다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</si>
  <si>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Noto Sans CJK SC"/>
        <family val="2"/>
      </rPr>
      <t xml:space="preserve">영업 사업부의 확정된 목표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회원성장확대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고객 유통시장 확장 등</t>
    </r>
    <r>
      <rPr>
        <sz val="9"/>
        <color rgb="FF1D1D1F"/>
        <rFont val="맑은 고딕"/>
        <family val="0"/>
        <charset val="1"/>
      </rPr>
      <t xml:space="preserve">)</t>
    </r>
  </si>
  <si>
    <r>
      <rPr>
        <sz val="9"/>
        <color rgb="FF1D1D1F"/>
        <rFont val="Noto Sans CJK SC"/>
        <family val="2"/>
      </rPr>
      <t xml:space="preserve">① 실적 입력 메뉴를 연다 → 기본으로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이번 기간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탭이 열리는지 본다
② '마감이 지난 칸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과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이번 기간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으로 나뉘어 있는지 본다
③ 값을 하나 입력하고 칸 밖을 누른다 → 저장 알림이 화면 모서리에 잠깐 떴다 사라지는지 본다
④ '한 해 전체 보기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탭으로 간다
⑤ 엑셀에 숫자 </t>
    </r>
    <r>
      <rPr>
        <sz val="9"/>
        <color rgb="FF1D1D1F"/>
        <rFont val="맑은 고딕"/>
        <family val="0"/>
        <charset val="1"/>
      </rPr>
      <t xml:space="preserve">3</t>
    </r>
    <r>
      <rPr>
        <sz val="9"/>
        <color rgb="FF1D1D1F"/>
        <rFont val="Noto Sans CJK SC"/>
        <family val="2"/>
      </rPr>
      <t xml:space="preserve">개를 세로로 적어 복사한 뒤</t>
    </r>
    <r>
      <rPr>
        <sz val="9"/>
        <color rgb="FF1D1D1F"/>
        <rFont val="맑은 고딕"/>
        <family val="0"/>
        <charset val="1"/>
      </rPr>
      <t xml:space="preserve">, 3</t>
    </r>
    <r>
      <rPr>
        <sz val="9"/>
        <color rgb="FF1D1D1F"/>
        <rFont val="Noto Sans CJK SC"/>
        <family val="2"/>
      </rPr>
      <t xml:space="preserve">월 칸에 붙여넣는다
⑥ Enter 와 ↓ 키로 칸을 옮겨본다</t>
    </r>
  </si>
  <si>
    <r>
      <rPr>
        <sz val="9"/>
        <color rgb="FFB9821F"/>
        <rFont val="Noto Sans CJK SC"/>
        <family val="2"/>
      </rPr>
      <t xml:space="preserve">붙여넣기로 </t>
    </r>
    <r>
      <rPr>
        <sz val="9"/>
        <color rgb="FFB9821F"/>
        <rFont val="맑은 고딕"/>
        <family val="0"/>
        <charset val="1"/>
      </rPr>
      <t xml:space="preserve">3·4·5</t>
    </r>
    <r>
      <rPr>
        <sz val="9"/>
        <color rgb="FFB9821F"/>
        <rFont val="Noto Sans CJK SC"/>
        <family val="2"/>
      </rPr>
      <t xml:space="preserve">월이 한 번에 채워지는지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알림이 가운데 창</t>
    </r>
    <r>
      <rPr>
        <sz val="9"/>
        <color rgb="FFB9821F"/>
        <rFont val="맑은 고딕"/>
        <family val="0"/>
        <charset val="1"/>
      </rPr>
      <t xml:space="preserve">(</t>
    </r>
    <r>
      <rPr>
        <sz val="9"/>
        <color rgb="FFB9821F"/>
        <rFont val="Noto Sans CJK SC"/>
        <family val="2"/>
      </rPr>
      <t xml:space="preserve">확인 눌러야 하는 창</t>
    </r>
    <r>
      <rPr>
        <sz val="9"/>
        <color rgb="FFB9821F"/>
        <rFont val="맑은 고딕"/>
        <family val="0"/>
        <charset val="1"/>
      </rPr>
      <t xml:space="preserve">)</t>
    </r>
    <r>
      <rPr>
        <sz val="9"/>
        <color rgb="FFB9821F"/>
        <rFont val="Noto Sans CJK SC"/>
        <family val="2"/>
      </rPr>
      <t xml:space="preserve">이 아니라 모서리에 잠깐 뜨는 형태인지</t>
    </r>
  </si>
  <si>
    <t xml:space="preserve">KW-10</t>
  </si>
  <si>
    <t xml:space="preserve">목표 상세</t>
  </si>
  <si>
    <r>
      <rPr>
        <b val="true"/>
        <sz val="10"/>
        <color rgb="FF1D1D1F"/>
        <rFont val="Noto Sans CJK SC"/>
        <family val="2"/>
      </rPr>
      <t xml:space="preserve">목표 상세 화면이 </t>
    </r>
    <r>
      <rPr>
        <b val="true"/>
        <sz val="10"/>
        <color rgb="FF1D1D1F"/>
        <rFont val="맑은 고딕"/>
        <family val="0"/>
        <charset val="1"/>
      </rPr>
      <t xml:space="preserve">'</t>
    </r>
    <r>
      <rPr>
        <b val="true"/>
        <sz val="10"/>
        <color rgb="FF1D1D1F"/>
        <rFont val="Noto Sans CJK SC"/>
        <family val="2"/>
      </rPr>
      <t xml:space="preserve">요약 먼저</t>
    </r>
    <r>
      <rPr>
        <b val="true"/>
        <sz val="10"/>
        <color rgb="FF1D1D1F"/>
        <rFont val="맑은 고딕"/>
        <family val="0"/>
        <charset val="1"/>
      </rPr>
      <t xml:space="preserve">, </t>
    </r>
    <r>
      <rPr>
        <b val="true"/>
        <sz val="10"/>
        <color rgb="FF1D1D1F"/>
        <rFont val="Noto Sans CJK SC"/>
        <family val="2"/>
      </rPr>
      <t xml:space="preserve">서술 나중</t>
    </r>
    <r>
      <rPr>
        <b val="true"/>
        <sz val="10"/>
        <color rgb="FF1D1D1F"/>
        <rFont val="맑은 고딕"/>
        <family val="0"/>
        <charset val="1"/>
      </rPr>
      <t xml:space="preserve">' </t>
    </r>
    <r>
      <rPr>
        <b val="true"/>
        <sz val="10"/>
        <color rgb="FF1D1D1F"/>
        <rFont val="Noto Sans CJK SC"/>
        <family val="2"/>
      </rPr>
      <t xml:space="preserve">순서로 바뀌었는지 본다</t>
    </r>
  </si>
  <si>
    <r>
      <rPr>
        <sz val="9"/>
        <color rgb="FF6E6E73"/>
        <rFont val="Noto Sans CJK SC"/>
        <family val="2"/>
      </rPr>
      <t xml:space="preserve">예전에는 </t>
    </r>
    <r>
      <rPr>
        <sz val="9"/>
        <color rgb="FF6E6E73"/>
        <rFont val="맑은 고딕"/>
        <family val="0"/>
        <charset val="1"/>
      </rPr>
      <t xml:space="preserve">SMART </t>
    </r>
    <r>
      <rPr>
        <sz val="9"/>
        <color rgb="FF6E6E73"/>
        <rFont val="Noto Sans CJK SC"/>
        <family val="2"/>
      </rPr>
      <t xml:space="preserve">서술 여섯 칸이 맨 위에 있어 숫자를 보려면 스크롤해야 했습니다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이제 요약 숫자 </t>
    </r>
    <r>
      <rPr>
        <sz val="9"/>
        <color rgb="FF6E6E73"/>
        <rFont val="맑은 고딕"/>
        <family val="0"/>
        <charset val="1"/>
      </rPr>
      <t xml:space="preserve">4</t>
    </r>
    <r>
      <rPr>
        <sz val="9"/>
        <color rgb="FF6E6E73"/>
        <rFont val="Noto Sans CJK SC"/>
        <family val="2"/>
      </rPr>
      <t xml:space="preserve">칸이 먼저 오고 </t>
    </r>
    <r>
      <rPr>
        <sz val="9"/>
        <color rgb="FF6E6E73"/>
        <rFont val="맑은 고딕"/>
        <family val="0"/>
        <charset val="1"/>
      </rPr>
      <t xml:space="preserve">SMART</t>
    </r>
    <r>
      <rPr>
        <sz val="9"/>
        <color rgb="FF6E6E73"/>
        <rFont val="Noto Sans CJK SC"/>
        <family val="2"/>
      </rPr>
      <t xml:space="preserve">는 접혀 있습니다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</si>
  <si>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Noto Sans CJK SC"/>
        <family val="2"/>
      </rPr>
      <t xml:space="preserve">영업 사업부의 확정된 목표 아무거나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실적이 들어 있는 것</t>
    </r>
    <r>
      <rPr>
        <sz val="9"/>
        <color rgb="FF1D1D1F"/>
        <rFont val="맑은 고딕"/>
        <family val="0"/>
        <charset val="1"/>
      </rPr>
      <t xml:space="preserve">)</t>
    </r>
  </si>
  <si>
    <r>
      <rPr>
        <sz val="9"/>
        <color rgb="FF1D1D1F"/>
        <rFont val="Noto Sans CJK SC"/>
        <family val="2"/>
      </rPr>
      <t xml:space="preserve">① 목록에서 목표 이름을 눌러 상세로 들어간다
② 맨 위 길잡이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사업계획 › 강원심층수 › 영업 › </t>
    </r>
    <r>
      <rPr>
        <sz val="9"/>
        <color rgb="FF1D1D1F"/>
        <rFont val="맑은 고딕"/>
        <family val="0"/>
        <charset val="1"/>
      </rPr>
      <t xml:space="preserve">N</t>
    </r>
    <r>
      <rPr>
        <sz val="9"/>
        <color rgb="FF1D1D1F"/>
        <rFont val="Noto Sans CJK SC"/>
        <family val="2"/>
      </rPr>
      <t xml:space="preserve">번</t>
    </r>
    <r>
      <rPr>
        <sz val="9"/>
        <color rgb="FF1D1D1F"/>
        <rFont val="맑은 고딕"/>
        <family val="0"/>
        <charset val="1"/>
      </rPr>
      <t xml:space="preserve">)</t>
    </r>
    <r>
      <rPr>
        <sz val="9"/>
        <color rgb="FF1D1D1F"/>
        <rFont val="Noto Sans CJK SC"/>
        <family val="2"/>
      </rPr>
      <t xml:space="preserve">가 있는지 본다
③ 요약 </t>
    </r>
    <r>
      <rPr>
        <sz val="9"/>
        <color rgb="FF1D1D1F"/>
        <rFont val="맑은 고딕"/>
        <family val="0"/>
        <charset val="1"/>
      </rPr>
      <t xml:space="preserve">4</t>
    </r>
    <r>
      <rPr>
        <sz val="9"/>
        <color rgb="FF1D1D1F"/>
        <rFont val="Noto Sans CJK SC"/>
        <family val="2"/>
      </rPr>
      <t xml:space="preserve">칸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달성률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핵심지표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실적 입력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마감 지난 미입력</t>
    </r>
    <r>
      <rPr>
        <sz val="9"/>
        <color rgb="FF1D1D1F"/>
        <rFont val="맑은 고딕"/>
        <family val="0"/>
        <charset val="1"/>
      </rPr>
      <t xml:space="preserve">)</t>
    </r>
    <r>
      <rPr>
        <sz val="9"/>
        <color rgb="FF1D1D1F"/>
        <rFont val="Noto Sans CJK SC"/>
        <family val="2"/>
      </rPr>
      <t xml:space="preserve">을 읽는다
④ 달성률 아래에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지표 </t>
    </r>
    <r>
      <rPr>
        <sz val="9"/>
        <color rgb="FF1D1D1F"/>
        <rFont val="맑은 고딕"/>
        <family val="0"/>
        <charset val="1"/>
      </rPr>
      <t xml:space="preserve">N</t>
    </r>
    <r>
      <rPr>
        <sz val="9"/>
        <color rgb="FF1D1D1F"/>
        <rFont val="Noto Sans CJK SC"/>
        <family val="2"/>
      </rPr>
      <t xml:space="preserve">개 평균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이라고 적혀 있는지 본다
⑤ '목표 내용 </t>
    </r>
    <r>
      <rPr>
        <sz val="9"/>
        <color rgb="FF1D1D1F"/>
        <rFont val="맑은 고딕"/>
        <family val="0"/>
        <charset val="1"/>
      </rPr>
      <t xml:space="preserve">(SMART)'</t>
    </r>
    <r>
      <rPr>
        <sz val="9"/>
        <color rgb="FF1D1D1F"/>
        <rFont val="Noto Sans CJK SC"/>
        <family val="2"/>
      </rPr>
      <t xml:space="preserve">이 접혀 있는지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눌러서 펼쳐지는지 본다
⑥ 맨 아래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변경 이력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을 펼쳐 </t>
    </r>
    <r>
      <rPr>
        <sz val="9"/>
        <color rgb="FF1D1D1F"/>
        <rFont val="맑은 고딕"/>
        <family val="0"/>
        <charset val="1"/>
      </rPr>
      <t xml:space="preserve">KW-07</t>
    </r>
    <r>
      <rPr>
        <sz val="9"/>
        <color rgb="FF1D1D1F"/>
        <rFont val="Noto Sans CJK SC"/>
        <family val="2"/>
      </rPr>
      <t xml:space="preserve">에서 내가 바꾼 내용이 기록돼 있는지 본다</t>
    </r>
  </si>
  <si>
    <r>
      <rPr>
        <sz val="9"/>
        <color rgb="FFB9821F"/>
        <rFont val="Noto Sans CJK SC"/>
        <family val="2"/>
      </rPr>
      <t xml:space="preserve">요약 </t>
    </r>
    <r>
      <rPr>
        <sz val="9"/>
        <color rgb="FFB9821F"/>
        <rFont val="맑은 고딕"/>
        <family val="0"/>
        <charset val="1"/>
      </rPr>
      <t xml:space="preserve">4</t>
    </r>
    <r>
      <rPr>
        <sz val="9"/>
        <color rgb="FFB9821F"/>
        <rFont val="Noto Sans CJK SC"/>
        <family val="2"/>
      </rPr>
      <t xml:space="preserve">칸이 지표 카드보다 위에 있는지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변경 이력에 내가 바꾼 것이 자동으로 남아 있는지</t>
    </r>
  </si>
  <si>
    <r>
      <rPr>
        <b val="true"/>
        <sz val="13"/>
        <color rgb="FF1D1D1F"/>
        <rFont val="Noto Sans CJK SC"/>
        <family val="2"/>
      </rPr>
      <t xml:space="preserve">대교</t>
    </r>
    <r>
      <rPr>
        <b val="true"/>
        <sz val="13"/>
        <color rgb="FF1D1D1F"/>
        <rFont val="맑은 고딕"/>
        <family val="0"/>
        <charset val="1"/>
      </rPr>
      <t xml:space="preserve">D&amp;S — </t>
    </r>
    <r>
      <rPr>
        <b val="true"/>
        <sz val="13"/>
        <color rgb="FF1D1D1F"/>
        <rFont val="Noto Sans CJK SC"/>
        <family val="2"/>
      </rPr>
      <t xml:space="preserve">장민경 과장  </t>
    </r>
    <r>
      <rPr>
        <b val="true"/>
        <sz val="13"/>
        <color rgb="FF1D1D1F"/>
        <rFont val="맑은 고딕"/>
        <family val="0"/>
        <charset val="1"/>
      </rPr>
      <t xml:space="preserve">|  </t>
    </r>
    <r>
      <rPr>
        <b val="true"/>
        <sz val="13"/>
        <color rgb="FF1D1D1F"/>
        <rFont val="Noto Sans CJK SC"/>
        <family val="2"/>
      </rPr>
      <t xml:space="preserve">기능 확인 </t>
    </r>
    <r>
      <rPr>
        <b val="true"/>
        <sz val="13"/>
        <color rgb="FF1D1D1F"/>
        <rFont val="맑은 고딕"/>
        <family val="0"/>
        <charset val="1"/>
      </rPr>
      <t xml:space="preserve">10</t>
    </r>
    <r>
      <rPr>
        <b val="true"/>
        <sz val="13"/>
        <color rgb="FF1D1D1F"/>
        <rFont val="Noto Sans CJK SC"/>
        <family val="2"/>
      </rPr>
      <t xml:space="preserve">건</t>
    </r>
  </si>
  <si>
    <t xml:space="preserve">DS-01</t>
  </si>
  <si>
    <r>
      <rPr>
        <sz val="9"/>
        <color rgb="FF1D1D1F"/>
        <rFont val="Noto Sans CJK SC"/>
        <family val="2"/>
      </rPr>
      <t xml:space="preserve">본인 계정</t>
    </r>
    <r>
      <rPr>
        <sz val="9"/>
        <color rgb="FF1D1D1F"/>
        <rFont val="맑은 고딕"/>
        <family val="0"/>
        <charset val="1"/>
      </rPr>
      <t xml:space="preserve">(minkyung_jang@daekyo.co.kr)</t>
    </r>
    <r>
      <rPr>
        <sz val="9"/>
        <color rgb="FF1D1D1F"/>
        <rFont val="Noto Sans CJK SC"/>
        <family val="2"/>
      </rPr>
      <t xml:space="preserve">으로 로그아웃된 상태에서 시작</t>
    </r>
  </si>
  <si>
    <r>
      <rPr>
        <sz val="9"/>
        <color rgb="FFB9821F"/>
        <rFont val="Noto Sans CJK SC"/>
        <family val="2"/>
      </rPr>
      <t xml:space="preserve">메뉴가 대시보드 → 나의 할 일 → 사업계획 → 실적 입력 순서인지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회사 선택칸에 대교</t>
    </r>
    <r>
      <rPr>
        <sz val="9"/>
        <color rgb="FFB9821F"/>
        <rFont val="맑은 고딕"/>
        <family val="0"/>
        <charset val="1"/>
      </rPr>
      <t xml:space="preserve">D&amp;S</t>
    </r>
    <r>
      <rPr>
        <sz val="9"/>
        <color rgb="FFB9821F"/>
        <rFont val="Noto Sans CJK SC"/>
        <family val="2"/>
      </rPr>
      <t xml:space="preserve">만 있는지</t>
    </r>
  </si>
  <si>
    <t xml:space="preserve">DS-02</t>
  </si>
  <si>
    <r>
      <rPr>
        <b val="true"/>
        <sz val="10"/>
        <color rgb="FF1D1D1F"/>
        <rFont val="맑은 고딕"/>
        <family val="0"/>
        <charset val="1"/>
      </rPr>
      <t xml:space="preserve">'</t>
    </r>
    <r>
      <rPr>
        <b val="true"/>
        <sz val="10"/>
        <color rgb="FF1D1D1F"/>
        <rFont val="Noto Sans CJK SC"/>
        <family val="2"/>
      </rPr>
      <t xml:space="preserve">확정만 보기</t>
    </r>
    <r>
      <rPr>
        <b val="true"/>
        <sz val="10"/>
        <color rgb="FF1D1D1F"/>
        <rFont val="맑은 고딕"/>
        <family val="0"/>
        <charset val="1"/>
      </rPr>
      <t xml:space="preserve">'</t>
    </r>
    <r>
      <rPr>
        <b val="true"/>
        <sz val="10"/>
        <color rgb="FF1D1D1F"/>
        <rFont val="Noto Sans CJK SC"/>
        <family val="2"/>
      </rPr>
      <t xml:space="preserve">와 </t>
    </r>
    <r>
      <rPr>
        <b val="true"/>
        <sz val="10"/>
        <color rgb="FF1D1D1F"/>
        <rFont val="맑은 고딕"/>
        <family val="0"/>
        <charset val="1"/>
      </rPr>
      <t xml:space="preserve">'</t>
    </r>
    <r>
      <rPr>
        <b val="true"/>
        <sz val="10"/>
        <color rgb="FF1D1D1F"/>
        <rFont val="Noto Sans CJK SC"/>
        <family val="2"/>
      </rPr>
      <t xml:space="preserve">전체 보기</t>
    </r>
    <r>
      <rPr>
        <b val="true"/>
        <sz val="10"/>
        <color rgb="FF1D1D1F"/>
        <rFont val="맑은 고딕"/>
        <family val="0"/>
        <charset val="1"/>
      </rPr>
      <t xml:space="preserve">'</t>
    </r>
    <r>
      <rPr>
        <b val="true"/>
        <sz val="10"/>
        <color rgb="FF1D1D1F"/>
        <rFont val="Noto Sans CJK SC"/>
        <family val="2"/>
      </rPr>
      <t xml:space="preserve">를 바꿔가며 숫자와 그래프가 따라 바뀌는지 본다</t>
    </r>
  </si>
  <si>
    <r>
      <rPr>
        <sz val="9"/>
        <color rgb="FF6E6E73"/>
        <rFont val="Noto Sans CJK SC"/>
        <family val="2"/>
      </rPr>
      <t xml:space="preserve">대시보드는 기본적으로 확정된 목표만 셉니다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작성 중인 것까지 보려면 토글을 켭니다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그래프 조각을 누르면 해당 목표 목록으로 넘어갑니다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</si>
  <si>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Noto Sans CJK SC"/>
        <family val="2"/>
      </rPr>
      <t xml:space="preserve">대시보드 화면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대교</t>
    </r>
    <r>
      <rPr>
        <sz val="9"/>
        <color rgb="FF1D1D1F"/>
        <rFont val="맑은 고딕"/>
        <family val="0"/>
        <charset val="1"/>
      </rPr>
      <t xml:space="preserve">D&amp;S</t>
    </r>
    <r>
      <rPr>
        <sz val="9"/>
        <color rgb="FF1D1D1F"/>
        <rFont val="Noto Sans CJK SC"/>
        <family val="2"/>
      </rPr>
      <t xml:space="preserve">는 작성 중 </t>
    </r>
    <r>
      <rPr>
        <sz val="9"/>
        <color rgb="FF1D1D1F"/>
        <rFont val="맑은 고딕"/>
        <family val="0"/>
        <charset val="1"/>
      </rPr>
      <t xml:space="preserve">15</t>
    </r>
    <r>
      <rPr>
        <sz val="9"/>
        <color rgb="FF1D1D1F"/>
        <rFont val="Noto Sans CJK SC"/>
        <family val="2"/>
      </rPr>
      <t xml:space="preserve">건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확정 </t>
    </r>
    <r>
      <rPr>
        <sz val="9"/>
        <color rgb="FF1D1D1F"/>
        <rFont val="맑은 고딕"/>
        <family val="0"/>
        <charset val="1"/>
      </rPr>
      <t xml:space="preserve">7</t>
    </r>
    <r>
      <rPr>
        <sz val="9"/>
        <color rgb="FF1D1D1F"/>
        <rFont val="Noto Sans CJK SC"/>
        <family val="2"/>
      </rPr>
      <t xml:space="preserve">건이 있습니다</t>
    </r>
  </si>
  <si>
    <r>
      <rPr>
        <sz val="9"/>
        <color rgb="FF1D1D1F"/>
        <rFont val="Noto Sans CJK SC"/>
        <family val="2"/>
      </rPr>
      <t xml:space="preserve">① 대시보드를 연다 → 맨 위 한 줄 요약 문장을 읽는다
② '작성 중인 목표도 함께 보기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토글을 켠다 → 숫자가 커지는지 본다
③ 다시 끈다 → 숫자가 돌아오는지 본다
④ 도넛 그래프에서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작성 중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조각을 누른다 → 어디로 가는지 본다
⑤ 뒤로 돌아와 막대 그래프의 사업부 막대 하나를 누른다</t>
    </r>
  </si>
  <si>
    <r>
      <rPr>
        <sz val="9"/>
        <color rgb="FFB9821F"/>
        <rFont val="Noto Sans CJK SC"/>
        <family val="2"/>
      </rPr>
      <t xml:space="preserve">토글에 따라 숫자</t>
    </r>
    <r>
      <rPr>
        <sz val="9"/>
        <color rgb="FFB9821F"/>
        <rFont val="맑은 고딕"/>
        <family val="0"/>
        <charset val="1"/>
      </rPr>
      <t xml:space="preserve">·</t>
    </r>
    <r>
      <rPr>
        <sz val="9"/>
        <color rgb="FFB9821F"/>
        <rFont val="Noto Sans CJK SC"/>
        <family val="2"/>
      </rPr>
      <t xml:space="preserve">그래프가 같이 바뀌는지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그래프를 누르면 그 조건으로 걸러진 목록이 열리는지</t>
    </r>
  </si>
  <si>
    <t xml:space="preserve">DS-03</t>
  </si>
  <si>
    <r>
      <rPr>
        <b val="true"/>
        <sz val="10"/>
        <color rgb="FF1D1D1F"/>
        <rFont val="Noto Sans CJK SC"/>
        <family val="2"/>
      </rPr>
      <t xml:space="preserve">사업부 이름이 줄마다 반복되지 않는지</t>
    </r>
    <r>
      <rPr>
        <b val="true"/>
        <sz val="10"/>
        <color rgb="FF1D1D1F"/>
        <rFont val="맑은 고딕"/>
        <family val="0"/>
        <charset val="1"/>
      </rPr>
      <t xml:space="preserve">, </t>
    </r>
    <r>
      <rPr>
        <b val="true"/>
        <sz val="10"/>
        <color rgb="FF1D1D1F"/>
        <rFont val="Noto Sans CJK SC"/>
        <family val="2"/>
      </rPr>
      <t xml:space="preserve">〃로 줄어든 줄도 펼쳐지는지 본다</t>
    </r>
  </si>
  <si>
    <r>
      <rPr>
        <sz val="9"/>
        <color rgb="FF6E6E73"/>
        <rFont val="Noto Sans CJK SC"/>
        <family val="2"/>
      </rPr>
      <t xml:space="preserve">회사</t>
    </r>
    <r>
      <rPr>
        <sz val="9"/>
        <color rgb="FF6E6E73"/>
        <rFont val="맑은 고딕"/>
        <family val="0"/>
        <charset val="1"/>
      </rPr>
      <t xml:space="preserve">·</t>
    </r>
    <r>
      <rPr>
        <sz val="9"/>
        <color rgb="FF6E6E73"/>
        <rFont val="Noto Sans CJK SC"/>
        <family val="2"/>
      </rPr>
      <t xml:space="preserve">사업부 이름이 줄마다 반복되던 걸 없앴습니다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사업부는 바뀌는 줄에만 이름이 나오고</t>
    </r>
    <r>
      <rPr>
        <sz val="9"/>
        <color rgb="FF6E6E73"/>
        <rFont val="맑은 고딕"/>
        <family val="0"/>
        <charset val="1"/>
      </rPr>
      <t xml:space="preserve">, </t>
    </r>
    <r>
      <rPr>
        <sz val="9"/>
        <color rgb="FF6E6E73"/>
        <rFont val="Noto Sans CJK SC"/>
        <family val="2"/>
      </rPr>
      <t xml:space="preserve">전략 이름이 위와 같으면 〃로 줄입니다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</si>
  <si>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맑은 고딕"/>
        <family val="0"/>
        <charset val="1"/>
      </rPr>
      <t xml:space="preserve">① '</t>
    </r>
    <r>
      <rPr>
        <sz val="9"/>
        <color rgb="FF1D1D1F"/>
        <rFont val="Noto Sans CJK SC"/>
        <family val="2"/>
      </rPr>
      <t xml:space="preserve">전체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탭을 연다
② 골프장 사업부의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핵심고객 </t>
    </r>
    <r>
      <rPr>
        <sz val="9"/>
        <color rgb="FF1D1D1F"/>
        <rFont val="맑은 고딕"/>
        <family val="0"/>
        <charset val="1"/>
      </rPr>
      <t xml:space="preserve">Pool </t>
    </r>
    <r>
      <rPr>
        <sz val="9"/>
        <color rgb="FF1D1D1F"/>
        <rFont val="Noto Sans CJK SC"/>
        <family val="2"/>
      </rPr>
      <t xml:space="preserve">확대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줄을 찾는다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여러 건이 이어져 있다</t>
    </r>
    <r>
      <rPr>
        <sz val="9"/>
        <color rgb="FF1D1D1F"/>
        <rFont val="맑은 고딕"/>
        <family val="0"/>
        <charset val="1"/>
      </rPr>
      <t xml:space="preserve">)
③ 사업부 칸이 첫 줄에만 '</t>
    </r>
    <r>
      <rPr>
        <sz val="9"/>
        <color rgb="FF1D1D1F"/>
        <rFont val="Noto Sans CJK SC"/>
        <family val="2"/>
      </rPr>
      <t xml:space="preserve">골프장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이라고 적혀 있고 아래는 비어 있는지 본다
④ 전략 이름이 두 번째 줄부터 〃로 줄어드는지 본다
⑤ 〃로 된 줄의 › 단추를 눌러 펼쳐본다
⑥ 펼쳐진 칸 맨 위에 어느 목표인지 이름이 적혀 있는지 본다</t>
    </r>
  </si>
  <si>
    <r>
      <rPr>
        <sz val="9"/>
        <color rgb="FFB9821F"/>
        <rFont val="Noto Sans CJK SC"/>
        <family val="2"/>
      </rPr>
      <t xml:space="preserve">〃로 줄어든 줄도 펼쳐지는지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펼친 내용이 </t>
    </r>
    <r>
      <rPr>
        <sz val="9"/>
        <color rgb="FFB9821F"/>
        <rFont val="맑은 고딕"/>
        <family val="0"/>
        <charset val="1"/>
      </rPr>
      <t xml:space="preserve">S·M·A·R·T </t>
    </r>
    <r>
      <rPr>
        <sz val="9"/>
        <color rgb="FFB9821F"/>
        <rFont val="Noto Sans CJK SC"/>
        <family val="2"/>
      </rPr>
      <t xml:space="preserve">순서로 세로로 쌓여 있는지</t>
    </r>
  </si>
  <si>
    <t xml:space="preserve">DS-04</t>
  </si>
  <si>
    <r>
      <rPr>
        <b val="true"/>
        <sz val="10"/>
        <color rgb="FF1D1D1F"/>
        <rFont val="Noto Sans CJK SC"/>
        <family val="2"/>
      </rPr>
      <t xml:space="preserve">지표가 여러 개인 목표에서 요약 </t>
    </r>
    <r>
      <rPr>
        <b val="true"/>
        <sz val="10"/>
        <color rgb="FF1D1D1F"/>
        <rFont val="맑은 고딕"/>
        <family val="0"/>
        <charset val="1"/>
      </rPr>
      <t xml:space="preserve">4</t>
    </r>
    <r>
      <rPr>
        <b val="true"/>
        <sz val="10"/>
        <color rgb="FF1D1D1F"/>
        <rFont val="Noto Sans CJK SC"/>
        <family val="2"/>
      </rPr>
      <t xml:space="preserve">칸이 제대로 계산되는지 본다</t>
    </r>
  </si>
  <si>
    <r>
      <rPr>
        <sz val="9"/>
        <color rgb="FF6E6E73"/>
        <rFont val="Noto Sans CJK SC"/>
        <family val="2"/>
      </rPr>
      <t xml:space="preserve">목표 상세 화면 위쪽에 요약 </t>
    </r>
    <r>
      <rPr>
        <sz val="9"/>
        <color rgb="FF6E6E73"/>
        <rFont val="맑은 고딕"/>
        <family val="0"/>
        <charset val="1"/>
      </rPr>
      <t xml:space="preserve">4</t>
    </r>
    <r>
      <rPr>
        <sz val="9"/>
        <color rgb="FF6E6E73"/>
        <rFont val="Noto Sans CJK SC"/>
        <family val="2"/>
      </rPr>
      <t xml:space="preserve">칸</t>
    </r>
    <r>
      <rPr>
        <sz val="9"/>
        <color rgb="FF6E6E73"/>
        <rFont val="맑은 고딕"/>
        <family val="0"/>
        <charset val="1"/>
      </rPr>
      <t xml:space="preserve">(</t>
    </r>
    <r>
      <rPr>
        <sz val="9"/>
        <color rgb="FF6E6E73"/>
        <rFont val="Noto Sans CJK SC"/>
        <family val="2"/>
      </rPr>
      <t xml:space="preserve">달성률 </t>
    </r>
    <r>
      <rPr>
        <sz val="9"/>
        <color rgb="FF6E6E73"/>
        <rFont val="맑은 고딕"/>
        <family val="0"/>
        <charset val="1"/>
      </rPr>
      <t xml:space="preserve">/ </t>
    </r>
    <r>
      <rPr>
        <sz val="9"/>
        <color rgb="FF6E6E73"/>
        <rFont val="Noto Sans CJK SC"/>
        <family val="2"/>
      </rPr>
      <t xml:space="preserve">핵심지표 </t>
    </r>
    <r>
      <rPr>
        <sz val="9"/>
        <color rgb="FF6E6E73"/>
        <rFont val="맑은 고딕"/>
        <family val="0"/>
        <charset val="1"/>
      </rPr>
      <t xml:space="preserve">/ </t>
    </r>
    <r>
      <rPr>
        <sz val="9"/>
        <color rgb="FF6E6E73"/>
        <rFont val="Noto Sans CJK SC"/>
        <family val="2"/>
      </rPr>
      <t xml:space="preserve">실적 입력 </t>
    </r>
    <r>
      <rPr>
        <sz val="9"/>
        <color rgb="FF6E6E73"/>
        <rFont val="맑은 고딕"/>
        <family val="0"/>
        <charset val="1"/>
      </rPr>
      <t xml:space="preserve">/ </t>
    </r>
    <r>
      <rPr>
        <sz val="9"/>
        <color rgb="FF6E6E73"/>
        <rFont val="Noto Sans CJK SC"/>
        <family val="2"/>
      </rPr>
      <t xml:space="preserve">마감 지난 미입력</t>
    </r>
    <r>
      <rPr>
        <sz val="9"/>
        <color rgb="FF6E6E73"/>
        <rFont val="맑은 고딕"/>
        <family val="0"/>
        <charset val="1"/>
      </rPr>
      <t xml:space="preserve">)</t>
    </r>
    <r>
      <rPr>
        <sz val="9"/>
        <color rgb="FF6E6E73"/>
        <rFont val="Noto Sans CJK SC"/>
        <family val="2"/>
      </rPr>
      <t xml:space="preserve">이 새로 생겼습니다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달성률은 지표별 달성률의 단순 평균입니다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</si>
  <si>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Noto Sans CJK SC"/>
        <family val="2"/>
      </rPr>
      <t xml:space="preserve">골프장 </t>
    </r>
    <r>
      <rPr>
        <sz val="9"/>
        <color rgb="FF1D1D1F"/>
        <rFont val="맑은 고딕"/>
        <family val="0"/>
        <charset val="1"/>
      </rPr>
      <t xml:space="preserve">12</t>
    </r>
    <r>
      <rPr>
        <sz val="9"/>
        <color rgb="FF1D1D1F"/>
        <rFont val="Noto Sans CJK SC"/>
        <family val="2"/>
      </rPr>
      <t xml:space="preserve">번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고객 중심 서비스 품질 강화</t>
    </r>
    <r>
      <rPr>
        <sz val="9"/>
        <color rgb="FF1D1D1F"/>
        <rFont val="맑은 고딕"/>
        <family val="0"/>
        <charset val="1"/>
      </rPr>
      <t xml:space="preserve">' (</t>
    </r>
    <r>
      <rPr>
        <sz val="9"/>
        <color rgb="FF1D1D1F"/>
        <rFont val="Noto Sans CJK SC"/>
        <family val="2"/>
      </rPr>
      <t xml:space="preserve">지표 </t>
    </r>
    <r>
      <rPr>
        <sz val="9"/>
        <color rgb="FF1D1D1F"/>
        <rFont val="맑은 고딕"/>
        <family val="0"/>
        <charset val="1"/>
      </rPr>
      <t xml:space="preserve">6</t>
    </r>
    <r>
      <rPr>
        <sz val="9"/>
        <color rgb="FF1D1D1F"/>
        <rFont val="Noto Sans CJK SC"/>
        <family val="2"/>
      </rPr>
      <t xml:space="preserve">개</t>
    </r>
    <r>
      <rPr>
        <sz val="9"/>
        <color rgb="FF1D1D1F"/>
        <rFont val="맑은 고딕"/>
        <family val="0"/>
        <charset val="1"/>
      </rPr>
      <t xml:space="preserve">) </t>
    </r>
    <r>
      <rPr>
        <sz val="9"/>
        <color rgb="FF1D1D1F"/>
        <rFont val="Noto Sans CJK SC"/>
        <family val="2"/>
      </rPr>
      <t xml:space="preserve">또는 골프장 </t>
    </r>
    <r>
      <rPr>
        <sz val="9"/>
        <color rgb="FF1D1D1F"/>
        <rFont val="맑은 고딕"/>
        <family val="0"/>
        <charset val="1"/>
      </rPr>
      <t xml:space="preserve">9</t>
    </r>
    <r>
      <rPr>
        <sz val="9"/>
        <color rgb="FF1D1D1F"/>
        <rFont val="Noto Sans CJK SC"/>
        <family val="2"/>
      </rPr>
      <t xml:space="preserve">번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지표 </t>
    </r>
    <r>
      <rPr>
        <sz val="9"/>
        <color rgb="FF1D1D1F"/>
        <rFont val="맑은 고딕"/>
        <family val="0"/>
        <charset val="1"/>
      </rPr>
      <t xml:space="preserve">4</t>
    </r>
    <r>
      <rPr>
        <sz val="9"/>
        <color rgb="FF1D1D1F"/>
        <rFont val="Noto Sans CJK SC"/>
        <family val="2"/>
      </rPr>
      <t xml:space="preserve">개</t>
    </r>
    <r>
      <rPr>
        <sz val="9"/>
        <color rgb="FF1D1D1F"/>
        <rFont val="맑은 고딕"/>
        <family val="0"/>
        <charset val="1"/>
      </rPr>
      <t xml:space="preserve">)</t>
    </r>
  </si>
  <si>
    <r>
      <rPr>
        <sz val="9"/>
        <color rgb="FF1D1D1F"/>
        <rFont val="Noto Sans CJK SC"/>
        <family val="2"/>
      </rPr>
      <t xml:space="preserve">① 그 목표의 상세 화면을 연다
② 요약 </t>
    </r>
    <r>
      <rPr>
        <sz val="9"/>
        <color rgb="FF1D1D1F"/>
        <rFont val="맑은 고딕"/>
        <family val="0"/>
        <charset val="1"/>
      </rPr>
      <t xml:space="preserve">4</t>
    </r>
    <r>
      <rPr>
        <sz val="9"/>
        <color rgb="FF1D1D1F"/>
        <rFont val="Noto Sans CJK SC"/>
        <family val="2"/>
      </rPr>
      <t xml:space="preserve">칸을 읽는다
③ '핵심지표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칸에 </t>
    </r>
    <r>
      <rPr>
        <sz val="9"/>
        <color rgb="FF1D1D1F"/>
        <rFont val="맑은 고딕"/>
        <family val="0"/>
        <charset val="1"/>
      </rPr>
      <t xml:space="preserve">6</t>
    </r>
    <r>
      <rPr>
        <sz val="9"/>
        <color rgb="FF1D1D1F"/>
        <rFont val="Noto Sans CJK SC"/>
        <family val="2"/>
      </rPr>
      <t xml:space="preserve">개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또는 </t>
    </r>
    <r>
      <rPr>
        <sz val="9"/>
        <color rgb="FF1D1D1F"/>
        <rFont val="맑은 고딕"/>
        <family val="0"/>
        <charset val="1"/>
      </rPr>
      <t xml:space="preserve">4</t>
    </r>
    <r>
      <rPr>
        <sz val="9"/>
        <color rgb="FF1D1D1F"/>
        <rFont val="Noto Sans CJK SC"/>
        <family val="2"/>
      </rPr>
      <t xml:space="preserve">개</t>
    </r>
    <r>
      <rPr>
        <sz val="9"/>
        <color rgb="FF1D1D1F"/>
        <rFont val="맑은 고딕"/>
        <family val="0"/>
        <charset val="1"/>
      </rPr>
      <t xml:space="preserve">)</t>
    </r>
    <r>
      <rPr>
        <sz val="9"/>
        <color rgb="FF1D1D1F"/>
        <rFont val="Noto Sans CJK SC"/>
        <family val="2"/>
      </rPr>
      <t xml:space="preserve">라고 맞게 나오는지 본다
④ 그 아래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목표값 미설정 </t>
    </r>
    <r>
      <rPr>
        <sz val="9"/>
        <color rgb="FF1D1D1F"/>
        <rFont val="맑은 고딕"/>
        <family val="0"/>
        <charset val="1"/>
      </rPr>
      <t xml:space="preserve">N</t>
    </r>
    <r>
      <rPr>
        <sz val="9"/>
        <color rgb="FF1D1D1F"/>
        <rFont val="Noto Sans CJK SC"/>
        <family val="2"/>
      </rPr>
      <t xml:space="preserve">개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라고 뜨는지 본다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목표값이 빈 지표가 있음</t>
    </r>
    <r>
      <rPr>
        <sz val="9"/>
        <color rgb="FF1D1D1F"/>
        <rFont val="맑은 고딕"/>
        <family val="0"/>
        <charset val="1"/>
      </rPr>
      <t xml:space="preserve">)
⑤ 달성률 아래에 '</t>
    </r>
    <r>
      <rPr>
        <sz val="9"/>
        <color rgb="FF1D1D1F"/>
        <rFont val="Noto Sans CJK SC"/>
        <family val="2"/>
      </rPr>
      <t xml:space="preserve">지표 </t>
    </r>
    <r>
      <rPr>
        <sz val="9"/>
        <color rgb="FF1D1D1F"/>
        <rFont val="맑은 고딕"/>
        <family val="0"/>
        <charset val="1"/>
      </rPr>
      <t xml:space="preserve">N</t>
    </r>
    <r>
      <rPr>
        <sz val="9"/>
        <color rgb="FF1D1D1F"/>
        <rFont val="Noto Sans CJK SC"/>
        <family val="2"/>
      </rPr>
      <t xml:space="preserve">개 평균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이라고 적혀 있는지 본다
⑥ 아래 지표 카드를 하나씩 보고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카드의 달성률을 직접 평균 내어 ⑤와 맞는지 계산해본다</t>
    </r>
  </si>
  <si>
    <r>
      <rPr>
        <sz val="9"/>
        <color rgb="FFB9821F"/>
        <rFont val="Noto Sans CJK SC"/>
        <family val="2"/>
      </rPr>
      <t xml:space="preserve">지표 개수가 실제와 맞는지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달성률 평균이 직접 계산한 값과 맞는지</t>
    </r>
  </si>
  <si>
    <t xml:space="preserve">DS-05</t>
  </si>
  <si>
    <r>
      <rPr>
        <sz val="9"/>
        <color rgb="FF1D1D1F"/>
        <rFont val="Noto Sans CJK SC"/>
        <family val="2"/>
      </rPr>
      <t xml:space="preserve">목표 작성 </t>
    </r>
    <r>
      <rPr>
        <sz val="9"/>
        <color rgb="FF1D1D1F"/>
        <rFont val="맑은 고딕"/>
        <family val="0"/>
        <charset val="1"/>
      </rPr>
      <t xml:space="preserve">· </t>
    </r>
    <r>
      <rPr>
        <sz val="9"/>
        <color rgb="FF1D1D1F"/>
        <rFont val="Noto Sans CJK SC"/>
        <family val="2"/>
      </rPr>
      <t xml:space="preserve">나의 할 일</t>
    </r>
  </si>
  <si>
    <r>
      <rPr>
        <b val="true"/>
        <sz val="10"/>
        <color rgb="FF1D1D1F"/>
        <rFont val="Noto Sans CJK SC"/>
        <family val="2"/>
      </rPr>
      <t xml:space="preserve">새 목표를 </t>
    </r>
    <r>
      <rPr>
        <b val="true"/>
        <sz val="10"/>
        <color rgb="FF1D1D1F"/>
        <rFont val="맑은 고딕"/>
        <family val="0"/>
        <charset val="1"/>
      </rPr>
      <t xml:space="preserve">3</t>
    </r>
    <r>
      <rPr>
        <b val="true"/>
        <sz val="10"/>
        <color rgb="FF1D1D1F"/>
        <rFont val="Noto Sans CJK SC"/>
        <family val="2"/>
      </rPr>
      <t xml:space="preserve">단계로 작성하고</t>
    </r>
    <r>
      <rPr>
        <b val="true"/>
        <sz val="10"/>
        <color rgb="FF1D1D1F"/>
        <rFont val="맑은 고딕"/>
        <family val="0"/>
        <charset val="1"/>
      </rPr>
      <t xml:space="preserve">, </t>
    </r>
    <r>
      <rPr>
        <b val="true"/>
        <sz val="10"/>
        <color rgb="FF1D1D1F"/>
        <rFont val="Noto Sans CJK SC"/>
        <family val="2"/>
      </rPr>
      <t xml:space="preserve">그게 </t>
    </r>
    <r>
      <rPr>
        <b val="true"/>
        <sz val="10"/>
        <color rgb="FF1D1D1F"/>
        <rFont val="맑은 고딕"/>
        <family val="0"/>
        <charset val="1"/>
      </rPr>
      <t xml:space="preserve">'</t>
    </r>
    <r>
      <rPr>
        <b val="true"/>
        <sz val="10"/>
        <color rgb="FF1D1D1F"/>
        <rFont val="Noto Sans CJK SC"/>
        <family val="2"/>
      </rPr>
      <t xml:space="preserve">나의 할 일</t>
    </r>
    <r>
      <rPr>
        <b val="true"/>
        <sz val="10"/>
        <color rgb="FF1D1D1F"/>
        <rFont val="맑은 고딕"/>
        <family val="0"/>
        <charset val="1"/>
      </rPr>
      <t xml:space="preserve">'</t>
    </r>
    <r>
      <rPr>
        <b val="true"/>
        <sz val="10"/>
        <color rgb="FF1D1D1F"/>
        <rFont val="Noto Sans CJK SC"/>
        <family val="2"/>
      </rPr>
      <t xml:space="preserve">에 올라오는지 본다</t>
    </r>
  </si>
  <si>
    <r>
      <rPr>
        <sz val="9"/>
        <color rgb="FF6E6E73"/>
        <rFont val="Noto Sans CJK SC"/>
        <family val="2"/>
      </rPr>
      <t xml:space="preserve">한 화면에 다 있던 입력칸을 </t>
    </r>
    <r>
      <rPr>
        <sz val="9"/>
        <color rgb="FF6E6E73"/>
        <rFont val="맑은 고딕"/>
        <family val="0"/>
        <charset val="1"/>
      </rPr>
      <t xml:space="preserve">3</t>
    </r>
    <r>
      <rPr>
        <sz val="9"/>
        <color rgb="FF6E6E73"/>
        <rFont val="Noto Sans CJK SC"/>
        <family val="2"/>
      </rPr>
      <t xml:space="preserve">단계로 나눴습니다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중간에 자동 저장되고</t>
    </r>
    <r>
      <rPr>
        <sz val="9"/>
        <color rgb="FF6E6E73"/>
        <rFont val="맑은 고딕"/>
        <family val="0"/>
        <charset val="1"/>
      </rPr>
      <t xml:space="preserve">, </t>
    </r>
    <r>
      <rPr>
        <sz val="9"/>
        <color rgb="FF6E6E73"/>
        <rFont val="Noto Sans CJK SC"/>
        <family val="2"/>
      </rPr>
      <t xml:space="preserve">연간 목표값을 넣으면 분기별로 자동 분배됩니다</t>
    </r>
    <r>
      <rPr>
        <sz val="9"/>
        <color rgb="FF6E6E73"/>
        <rFont val="맑은 고딕"/>
        <family val="0"/>
        <charset val="1"/>
      </rPr>
      <t xml:space="preserve">. SMART </t>
    </r>
    <r>
      <rPr>
        <sz val="9"/>
        <color rgb="FF6E6E73"/>
        <rFont val="Noto Sans CJK SC"/>
        <family val="2"/>
      </rPr>
      <t xml:space="preserve">다섯 칸은 모두 선택 항목이라 비워도 제출됩니다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</si>
  <si>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맑은 고딕"/>
        <family val="0"/>
        <charset val="1"/>
      </rPr>
      <t xml:space="preserve">① 1</t>
    </r>
    <r>
      <rPr>
        <sz val="9"/>
        <color rgb="FF1D1D1F"/>
        <rFont val="Noto Sans CJK SC"/>
        <family val="2"/>
      </rPr>
      <t xml:space="preserve">단계</t>
    </r>
    <r>
      <rPr>
        <sz val="9"/>
        <color rgb="FF1D1D1F"/>
        <rFont val="맑은 고딕"/>
        <family val="0"/>
        <charset val="1"/>
      </rPr>
      <t xml:space="preserve">: </t>
    </r>
    <r>
      <rPr>
        <sz val="9"/>
        <color rgb="FF1D1D1F"/>
        <rFont val="Noto Sans CJK SC"/>
        <family val="2"/>
      </rPr>
      <t xml:space="preserve">사업부 </t>
    </r>
    <r>
      <rPr>
        <sz val="9"/>
        <color rgb="FF1D1D1F"/>
        <rFont val="맑은 고딕"/>
        <family val="0"/>
        <charset val="1"/>
      </rPr>
      <t xml:space="preserve">'FM', </t>
    </r>
    <r>
      <rPr>
        <sz val="9"/>
        <color rgb="FF1D1D1F"/>
        <rFont val="Noto Sans CJK SC"/>
        <family val="2"/>
      </rPr>
      <t xml:space="preserve">전략 이름 </t>
    </r>
    <r>
      <rPr>
        <sz val="9"/>
        <color rgb="FF1D1D1F"/>
        <rFont val="맑은 고딕"/>
        <family val="0"/>
        <charset val="1"/>
      </rPr>
      <t xml:space="preserve">'[</t>
    </r>
    <r>
      <rPr>
        <sz val="9"/>
        <color rgb="FF1D1D1F"/>
        <rFont val="Noto Sans CJK SC"/>
        <family val="2"/>
      </rPr>
      <t xml:space="preserve">테스트</t>
    </r>
    <r>
      <rPr>
        <sz val="9"/>
        <color rgb="FF1D1D1F"/>
        <rFont val="맑은 고딕"/>
        <family val="0"/>
        <charset val="1"/>
      </rPr>
      <t xml:space="preserve">] </t>
    </r>
    <r>
      <rPr>
        <sz val="9"/>
        <color rgb="FF1D1D1F"/>
        <rFont val="Noto Sans CJK SC"/>
        <family val="2"/>
      </rPr>
      <t xml:space="preserve">장민경 작성확인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입력
② 2단계로 넘어가 </t>
    </r>
    <r>
      <rPr>
        <sz val="9"/>
        <color rgb="FF1D1D1F"/>
        <rFont val="맑은 고딕"/>
        <family val="0"/>
        <charset val="1"/>
      </rPr>
      <t xml:space="preserve">KPI </t>
    </r>
    <r>
      <rPr>
        <sz val="9"/>
        <color rgb="FF1D1D1F"/>
        <rFont val="Noto Sans CJK SC"/>
        <family val="2"/>
      </rPr>
      <t xml:space="preserve">지표를 초성으로 검색해본다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예</t>
    </r>
    <r>
      <rPr>
        <sz val="9"/>
        <color rgb="FF1D1D1F"/>
        <rFont val="맑은 고딕"/>
        <family val="0"/>
        <charset val="1"/>
      </rPr>
      <t xml:space="preserve">: </t>
    </r>
    <r>
      <rPr>
        <sz val="9"/>
        <color rgb="FF1D1D1F"/>
        <rFont val="Noto Sans CJK SC"/>
        <family val="2"/>
      </rPr>
      <t xml:space="preserve">ㅁㅊ → 매출</t>
    </r>
    <r>
      <rPr>
        <sz val="9"/>
        <color rgb="FF1D1D1F"/>
        <rFont val="맑은 고딕"/>
        <family val="0"/>
        <charset val="1"/>
      </rPr>
      <t xml:space="preserve">)
③ 지표를 고르고 주기를 '</t>
    </r>
    <r>
      <rPr>
        <sz val="9"/>
        <color rgb="FF1D1D1F"/>
        <rFont val="Noto Sans CJK SC"/>
        <family val="2"/>
      </rPr>
      <t xml:space="preserve">분기별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로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연간 목표값 </t>
    </r>
    <r>
      <rPr>
        <sz val="9"/>
        <color rgb="FF1D1D1F"/>
        <rFont val="맑은 고딕"/>
        <family val="0"/>
        <charset val="1"/>
      </rPr>
      <t xml:space="preserve">400 </t>
    </r>
    <r>
      <rPr>
        <sz val="9"/>
        <color rgb="FF1D1D1F"/>
        <rFont val="Noto Sans CJK SC"/>
        <family val="2"/>
      </rPr>
      <t xml:space="preserve">입력
④ 단위를 비운 채로 제출을 눌러본다 → 막히는지 본다
⑤ 단위를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백만원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으로 채우고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목표값을 분기별로 나누는 기능을 써본다
⑥ 1단계로 되돌아가 앞서 쓴 내용이 남아 있는지 본다
⑦ 3단계로 가서 </t>
    </r>
    <r>
      <rPr>
        <sz val="9"/>
        <color rgb="FF1D1D1F"/>
        <rFont val="맑은 고딕"/>
        <family val="0"/>
        <charset val="1"/>
      </rPr>
      <t xml:space="preserve">SMART</t>
    </r>
    <r>
      <rPr>
        <sz val="9"/>
        <color rgb="FF1D1D1F"/>
        <rFont val="Noto Sans CJK SC"/>
        <family val="2"/>
      </rPr>
      <t xml:space="preserve">를 하나도 안 쓴 채 제출한다
⑧ '나의 할 일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메뉴를 열어 이 목표가 올라왔는지 본다</t>
    </r>
  </si>
  <si>
    <r>
      <rPr>
        <sz val="9"/>
        <color rgb="FFB9821F"/>
        <rFont val="Noto Sans CJK SC"/>
        <family val="2"/>
      </rPr>
      <t xml:space="preserve">단위를 비우면 막히는지</t>
    </r>
    <r>
      <rPr>
        <sz val="9"/>
        <color rgb="FFB9821F"/>
        <rFont val="맑은 고딕"/>
        <family val="0"/>
        <charset val="1"/>
      </rPr>
      <t xml:space="preserve">, SMART</t>
    </r>
    <r>
      <rPr>
        <sz val="9"/>
        <color rgb="FFB9821F"/>
        <rFont val="Noto Sans CJK SC"/>
        <family val="2"/>
      </rPr>
      <t xml:space="preserve">를 비워도 제출되는지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분기 지표라 입력칸이 </t>
    </r>
    <r>
      <rPr>
        <sz val="9"/>
        <color rgb="FFB9821F"/>
        <rFont val="맑은 고딕"/>
        <family val="0"/>
        <charset val="1"/>
      </rPr>
      <t xml:space="preserve">4</t>
    </r>
    <r>
      <rPr>
        <sz val="9"/>
        <color rgb="FFB9821F"/>
        <rFont val="Noto Sans CJK SC"/>
        <family val="2"/>
      </rPr>
      <t xml:space="preserve">개로 나뉘는지</t>
    </r>
  </si>
  <si>
    <t xml:space="preserve">DS-06</t>
  </si>
  <si>
    <t xml:space="preserve">검토 화면</t>
  </si>
  <si>
    <t xml:space="preserve">목표값이 비어 있으면 합의 단추가 눌리지 않는지 본다</t>
  </si>
  <si>
    <r>
      <rPr>
        <sz val="9"/>
        <color rgb="FF6E6E73"/>
        <rFont val="Noto Sans CJK SC"/>
        <family val="2"/>
      </rPr>
      <t xml:space="preserve">검토 화면을 새로 만들었습니다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지표</t>
    </r>
    <r>
      <rPr>
        <sz val="9"/>
        <color rgb="FF6E6E73"/>
        <rFont val="맑은 고딕"/>
        <family val="0"/>
        <charset val="1"/>
      </rPr>
      <t xml:space="preserve">·</t>
    </r>
    <r>
      <rPr>
        <sz val="9"/>
        <color rgb="FF6E6E73"/>
        <rFont val="Noto Sans CJK SC"/>
        <family val="2"/>
      </rPr>
      <t xml:space="preserve">목표값</t>
    </r>
    <r>
      <rPr>
        <sz val="9"/>
        <color rgb="FF6E6E73"/>
        <rFont val="맑은 고딕"/>
        <family val="0"/>
        <charset val="1"/>
      </rPr>
      <t xml:space="preserve">·</t>
    </r>
    <r>
      <rPr>
        <sz val="9"/>
        <color rgb="FF6E6E73"/>
        <rFont val="Noto Sans CJK SC"/>
        <family val="2"/>
      </rPr>
      <t xml:space="preserve">단위가 빠져 있으면 합의 단추가 아예 비활성화되고</t>
    </r>
    <r>
      <rPr>
        <sz val="9"/>
        <color rgb="FF6E6E73"/>
        <rFont val="맑은 고딕"/>
        <family val="0"/>
        <charset val="1"/>
      </rPr>
      <t xml:space="preserve">, </t>
    </r>
    <r>
      <rPr>
        <sz val="9"/>
        <color rgb="FF6E6E73"/>
        <rFont val="Noto Sans CJK SC"/>
        <family val="2"/>
      </rPr>
      <t xml:space="preserve">왜 막혔는지 적어줍니다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숫자가 어긋나는 정도는 경고만 하고 넘어갈 수 있습니다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</si>
  <si>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맑은 고딕"/>
        <family val="0"/>
        <charset val="1"/>
      </rPr>
      <t xml:space="preserve">FM 4</t>
    </r>
    <r>
      <rPr>
        <sz val="9"/>
        <color rgb="FF1D1D1F"/>
        <rFont val="Noto Sans CJK SC"/>
        <family val="2"/>
      </rPr>
      <t xml:space="preserve">번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기계설비 성능점검 연계 공사업 확대</t>
    </r>
    <r>
      <rPr>
        <sz val="9"/>
        <color rgb="FF1D1D1F"/>
        <rFont val="맑은 고딕"/>
        <family val="0"/>
        <charset val="1"/>
      </rPr>
      <t xml:space="preserve">' (</t>
    </r>
    <r>
      <rPr>
        <sz val="9"/>
        <color rgb="FF1D1D1F"/>
        <rFont val="Noto Sans CJK SC"/>
        <family val="2"/>
      </rPr>
      <t xml:space="preserve">지표 </t>
    </r>
    <r>
      <rPr>
        <sz val="9"/>
        <color rgb="FF1D1D1F"/>
        <rFont val="맑은 고딕"/>
        <family val="0"/>
        <charset val="1"/>
      </rPr>
      <t xml:space="preserve">2</t>
    </r>
    <r>
      <rPr>
        <sz val="9"/>
        <color rgb="FF1D1D1F"/>
        <rFont val="Noto Sans CJK SC"/>
        <family val="2"/>
      </rPr>
      <t xml:space="preserve">개 모두 목표값 없음</t>
    </r>
    <r>
      <rPr>
        <sz val="9"/>
        <color rgb="FF1D1D1F"/>
        <rFont val="맑은 고딕"/>
        <family val="0"/>
        <charset val="1"/>
      </rPr>
      <t xml:space="preserve">)</t>
    </r>
  </si>
  <si>
    <r>
      <rPr>
        <sz val="9"/>
        <color rgb="FF1D1D1F"/>
        <rFont val="Noto Sans CJK SC"/>
        <family val="2"/>
      </rPr>
      <t xml:space="preserve">① 그 목표를 제출한다 → 상태가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검토 중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 되는지 본다
② 검토 화면을 연다
③ 지표 표에서 목표값 칸이 비어 있는지 본다
④ '합의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단추가 눌리는지 시도해본다
⑤ 막혀 있다면 무슨 사유가 적혀 있는지 읽는다
⑥ 목표값을 채운 뒤 다시 와서 합의가 되는지 본다</t>
    </r>
  </si>
  <si>
    <r>
      <rPr>
        <sz val="9"/>
        <color rgb="FFB9821F"/>
        <rFont val="Noto Sans CJK SC"/>
        <family val="2"/>
      </rPr>
      <t xml:space="preserve">목표값이 비면 합의가 막히는지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막힌 사유가 화면에 적혀 있는지</t>
    </r>
  </si>
  <si>
    <t xml:space="preserve">DS-07</t>
  </si>
  <si>
    <t xml:space="preserve">지표 하나만 콕 집어 보완 요청을 보낼 수 있는지 본다</t>
  </si>
  <si>
    <r>
      <rPr>
        <sz val="9"/>
        <color rgb="FF6E6E73"/>
        <rFont val="Noto Sans CJK SC"/>
        <family val="2"/>
      </rPr>
      <t xml:space="preserve">보완 요청을 보낼 때 어느 지표에 대한 지적인지 고를 수 있습니다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사유 앞에 </t>
    </r>
    <r>
      <rPr>
        <sz val="9"/>
        <color rgb="FF6E6E73"/>
        <rFont val="맑은 고딕"/>
        <family val="0"/>
        <charset val="1"/>
      </rPr>
      <t xml:space="preserve">[</t>
    </r>
    <r>
      <rPr>
        <sz val="9"/>
        <color rgb="FF6E6E73"/>
        <rFont val="Noto Sans CJK SC"/>
        <family val="2"/>
      </rPr>
      <t xml:space="preserve">지표명</t>
    </r>
    <r>
      <rPr>
        <sz val="9"/>
        <color rgb="FF6E6E73"/>
        <rFont val="맑은 고딕"/>
        <family val="0"/>
        <charset val="1"/>
      </rPr>
      <t xml:space="preserve">]</t>
    </r>
    <r>
      <rPr>
        <sz val="9"/>
        <color rgb="FF6E6E73"/>
        <rFont val="Noto Sans CJK SC"/>
        <family val="2"/>
      </rPr>
      <t xml:space="preserve">이 자동으로 붙습니다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</si>
  <si>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맑은 고딕"/>
        <family val="0"/>
        <charset val="1"/>
      </rPr>
      <t xml:space="preserve">DS-06</t>
    </r>
    <r>
      <rPr>
        <sz val="9"/>
        <color rgb="FF1D1D1F"/>
        <rFont val="Noto Sans CJK SC"/>
        <family val="2"/>
      </rPr>
      <t xml:space="preserve">에서 제출한 목표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또는 </t>
    </r>
    <r>
      <rPr>
        <sz val="9"/>
        <color rgb="FF1D1D1F"/>
        <rFont val="맑은 고딕"/>
        <family val="0"/>
        <charset val="1"/>
      </rPr>
      <t xml:space="preserve">FM </t>
    </r>
    <r>
      <rPr>
        <sz val="9"/>
        <color rgb="FF1D1D1F"/>
        <rFont val="Noto Sans CJK SC"/>
        <family val="2"/>
      </rPr>
      <t xml:space="preserve">사업부의 작성 중 목표 하나를 제출해서 사용</t>
    </r>
  </si>
  <si>
    <r>
      <rPr>
        <sz val="9"/>
        <color rgb="FF1D1D1F"/>
        <rFont val="Noto Sans CJK SC"/>
        <family val="2"/>
      </rPr>
      <t xml:space="preserve">① 검토 화면에서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보완 요청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을 누른다
② 어느 지표에 대한 요청인지 고르는 칸이 있는지 본다
③ 지표를 하나 고르고 사유를 적는다
④ 저장한 뒤 목록으로 간다
⑤ 그 목표의 상태칸 아래에 사유가 </t>
    </r>
    <r>
      <rPr>
        <sz val="9"/>
        <color rgb="FF1D1D1F"/>
        <rFont val="맑은 고딕"/>
        <family val="0"/>
        <charset val="1"/>
      </rPr>
      <t xml:space="preserve">[</t>
    </r>
    <r>
      <rPr>
        <sz val="9"/>
        <color rgb="FF1D1D1F"/>
        <rFont val="Noto Sans CJK SC"/>
        <family val="2"/>
      </rPr>
      <t xml:space="preserve">지표명</t>
    </r>
    <r>
      <rPr>
        <sz val="9"/>
        <color rgb="FF1D1D1F"/>
        <rFont val="맑은 고딕"/>
        <family val="0"/>
        <charset val="1"/>
      </rPr>
      <t xml:space="preserve">]</t>
    </r>
    <r>
      <rPr>
        <sz val="9"/>
        <color rgb="FF1D1D1F"/>
        <rFont val="Noto Sans CJK SC"/>
        <family val="2"/>
      </rPr>
      <t xml:space="preserve">과 함께 보이는지 본다
⑥ 목표 상세로 들어가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검토 </t>
    </r>
    <r>
      <rPr>
        <sz val="9"/>
        <color rgb="FF1D1D1F"/>
        <rFont val="맑은 고딕"/>
        <family val="0"/>
        <charset val="1"/>
      </rPr>
      <t xml:space="preserve">· </t>
    </r>
    <r>
      <rPr>
        <sz val="9"/>
        <color rgb="FF1D1D1F"/>
        <rFont val="Noto Sans CJK SC"/>
        <family val="2"/>
      </rPr>
      <t xml:space="preserve">합의 이력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 펼쳐진 채로 열리는지 본다</t>
    </r>
  </si>
  <si>
    <r>
      <rPr>
        <sz val="9"/>
        <color rgb="FFB9821F"/>
        <rFont val="Noto Sans CJK SC"/>
        <family val="2"/>
      </rPr>
      <t xml:space="preserve">사유 앞에 </t>
    </r>
    <r>
      <rPr>
        <sz val="9"/>
        <color rgb="FFB9821F"/>
        <rFont val="맑은 고딕"/>
        <family val="0"/>
        <charset val="1"/>
      </rPr>
      <t xml:space="preserve">[</t>
    </r>
    <r>
      <rPr>
        <sz val="9"/>
        <color rgb="FFB9821F"/>
        <rFont val="Noto Sans CJK SC"/>
        <family val="2"/>
      </rPr>
      <t xml:space="preserve">지표명</t>
    </r>
    <r>
      <rPr>
        <sz val="9"/>
        <color rgb="FFB9821F"/>
        <rFont val="맑은 고딕"/>
        <family val="0"/>
        <charset val="1"/>
      </rPr>
      <t xml:space="preserve">]</t>
    </r>
    <r>
      <rPr>
        <sz val="9"/>
        <color rgb="FFB9821F"/>
        <rFont val="Noto Sans CJK SC"/>
        <family val="2"/>
      </rPr>
      <t xml:space="preserve">이 붙는지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보완 요청 상태일 때 상세 화면에서 이력이 자동으로 펼쳐지는지</t>
    </r>
  </si>
  <si>
    <t xml:space="preserve">DS-08</t>
  </si>
  <si>
    <r>
      <rPr>
        <b val="true"/>
        <sz val="10"/>
        <color rgb="FF1D1D1F"/>
        <rFont val="Noto Sans CJK SC"/>
        <family val="2"/>
      </rPr>
      <t xml:space="preserve">목표를 회사 → 사업부 → 목표 </t>
    </r>
    <r>
      <rPr>
        <b val="true"/>
        <sz val="10"/>
        <color rgb="FF1D1D1F"/>
        <rFont val="맑은 고딕"/>
        <family val="0"/>
        <charset val="1"/>
      </rPr>
      <t xml:space="preserve">3</t>
    </r>
    <r>
      <rPr>
        <b val="true"/>
        <sz val="10"/>
        <color rgb="FF1D1D1F"/>
        <rFont val="Noto Sans CJK SC"/>
        <family val="2"/>
      </rPr>
      <t xml:space="preserve">단으로 찾아 들어가는지 본다</t>
    </r>
  </si>
  <si>
    <r>
      <rPr>
        <sz val="9"/>
        <color rgb="FF6E6E73"/>
        <rFont val="Noto Sans CJK SC"/>
        <family val="2"/>
      </rPr>
      <t xml:space="preserve">예전에는 목표 전체가 한 줄로 길게 늘어서 찾기 어려웠습니다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이제 왼쪽부터 회사 </t>
    </r>
    <r>
      <rPr>
        <sz val="9"/>
        <color rgb="FF6E6E73"/>
        <rFont val="맑은 고딕"/>
        <family val="0"/>
        <charset val="1"/>
      </rPr>
      <t xml:space="preserve">/ </t>
    </r>
    <r>
      <rPr>
        <sz val="9"/>
        <color rgb="FF6E6E73"/>
        <rFont val="Noto Sans CJK SC"/>
        <family val="2"/>
      </rPr>
      <t xml:space="preserve">사업부 </t>
    </r>
    <r>
      <rPr>
        <sz val="9"/>
        <color rgb="FF6E6E73"/>
        <rFont val="맑은 고딕"/>
        <family val="0"/>
        <charset val="1"/>
      </rPr>
      <t xml:space="preserve">/ </t>
    </r>
    <r>
      <rPr>
        <sz val="9"/>
        <color rgb="FF6E6E73"/>
        <rFont val="Noto Sans CJK SC"/>
        <family val="2"/>
      </rPr>
      <t xml:space="preserve">목표 세 칸으로 나뉩니다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회사가 하나뿐이어도 첫 칸은 항상 나옵니다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</si>
  <si>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Noto Sans CJK SC"/>
        <family val="2"/>
      </rPr>
      <t xml:space="preserve">실적 입력 →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한 해 전체 보기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탭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골프장 </t>
    </r>
    <r>
      <rPr>
        <sz val="9"/>
        <color rgb="FF1D1D1F"/>
        <rFont val="맑은 고딕"/>
        <family val="0"/>
        <charset val="1"/>
      </rPr>
      <t xml:space="preserve">9</t>
    </r>
    <r>
      <rPr>
        <sz val="9"/>
        <color rgb="FF1D1D1F"/>
        <rFont val="Noto Sans CJK SC"/>
        <family val="2"/>
      </rPr>
      <t xml:space="preserve">번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분기 지표와 월별 지표가 섞여 있음</t>
    </r>
    <r>
      <rPr>
        <sz val="9"/>
        <color rgb="FF1D1D1F"/>
        <rFont val="맑은 고딕"/>
        <family val="0"/>
        <charset val="1"/>
      </rPr>
      <t xml:space="preserve">)</t>
    </r>
    <r>
      <rPr>
        <sz val="9"/>
        <color rgb="FF1D1D1F"/>
        <rFont val="Noto Sans CJK SC"/>
        <family val="2"/>
      </rPr>
      <t xml:space="preserve">을 권합니다</t>
    </r>
  </si>
  <si>
    <r>
      <rPr>
        <sz val="9"/>
        <color rgb="FF1D1D1F"/>
        <rFont val="맑은 고딕"/>
        <family val="0"/>
        <charset val="1"/>
      </rPr>
      <t xml:space="preserve">① '</t>
    </r>
    <r>
      <rPr>
        <sz val="9"/>
        <color rgb="FF1D1D1F"/>
        <rFont val="Noto Sans CJK SC"/>
        <family val="2"/>
      </rPr>
      <t xml:space="preserve">한 해 전체 보기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탭을 연다
② 칸이 세 개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회사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사업부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목표</t>
    </r>
    <r>
      <rPr>
        <sz val="9"/>
        <color rgb="FF1D1D1F"/>
        <rFont val="맑은 고딕"/>
        <family val="0"/>
        <charset val="1"/>
      </rPr>
      <t xml:space="preserve">)</t>
    </r>
    <r>
      <rPr>
        <sz val="9"/>
        <color rgb="FF1D1D1F"/>
        <rFont val="Noto Sans CJK SC"/>
        <family val="2"/>
      </rPr>
      <t xml:space="preserve">로 나뉘어 있는지 본다
③ 회사 칸에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대교</t>
    </r>
    <r>
      <rPr>
        <sz val="9"/>
        <color rgb="FF1D1D1F"/>
        <rFont val="맑은 고딕"/>
        <family val="0"/>
        <charset val="1"/>
      </rPr>
      <t xml:space="preserve">D&amp;S'</t>
    </r>
    <r>
      <rPr>
        <sz val="9"/>
        <color rgb="FF1D1D1F"/>
        <rFont val="Noto Sans CJK SC"/>
        <family val="2"/>
      </rPr>
      <t xml:space="preserve">가 보이는지 본다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회사가 하나여도 나와야 함</t>
    </r>
    <r>
      <rPr>
        <sz val="9"/>
        <color rgb="FF1D1D1F"/>
        <rFont val="맑은 고딕"/>
        <family val="0"/>
        <charset val="1"/>
      </rPr>
      <t xml:space="preserve">)
④ 사업부 '</t>
    </r>
    <r>
      <rPr>
        <sz val="9"/>
        <color rgb="FF1D1D1F"/>
        <rFont val="Noto Sans CJK SC"/>
        <family val="2"/>
      </rPr>
      <t xml:space="preserve">골프장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을 고르고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목표 칸에서 </t>
    </r>
    <r>
      <rPr>
        <sz val="9"/>
        <color rgb="FF1D1D1F"/>
        <rFont val="맑은 고딕"/>
        <family val="0"/>
        <charset val="1"/>
      </rPr>
      <t xml:space="preserve">9</t>
    </r>
    <r>
      <rPr>
        <sz val="9"/>
        <color rgb="FF1D1D1F"/>
        <rFont val="Noto Sans CJK SC"/>
        <family val="2"/>
      </rPr>
      <t xml:space="preserve">번을 고른다
⑤ 지표마다 입력칸 개수가 다른지 본다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분기 지표는 </t>
    </r>
    <r>
      <rPr>
        <sz val="9"/>
        <color rgb="FF1D1D1F"/>
        <rFont val="맑은 고딕"/>
        <family val="0"/>
        <charset val="1"/>
      </rPr>
      <t xml:space="preserve">4</t>
    </r>
    <r>
      <rPr>
        <sz val="9"/>
        <color rgb="FF1D1D1F"/>
        <rFont val="Noto Sans CJK SC"/>
        <family val="2"/>
      </rPr>
      <t xml:space="preserve">칸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월별 지표는 </t>
    </r>
    <r>
      <rPr>
        <sz val="9"/>
        <color rgb="FF1D1D1F"/>
        <rFont val="맑은 고딕"/>
        <family val="0"/>
        <charset val="1"/>
      </rPr>
      <t xml:space="preserve">12</t>
    </r>
    <r>
      <rPr>
        <sz val="9"/>
        <color rgb="FF1D1D1F"/>
        <rFont val="Noto Sans CJK SC"/>
        <family val="2"/>
      </rPr>
      <t xml:space="preserve">칸</t>
    </r>
    <r>
      <rPr>
        <sz val="9"/>
        <color rgb="FF1D1D1F"/>
        <rFont val="맑은 고딕"/>
        <family val="0"/>
        <charset val="1"/>
      </rPr>
      <t xml:space="preserve">)
⑥ 값을 하나 넣고 저장되는지 본다</t>
    </r>
  </si>
  <si>
    <r>
      <rPr>
        <sz val="9"/>
        <color rgb="FFB9821F"/>
        <rFont val="Noto Sans CJK SC"/>
        <family val="2"/>
      </rPr>
      <t xml:space="preserve">세 칸으로 나뉘어 있는지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주기가 다른 지표의 입력칸 개수가 각각 맞는지</t>
    </r>
    <r>
      <rPr>
        <sz val="9"/>
        <color rgb="FFB9821F"/>
        <rFont val="맑은 고딕"/>
        <family val="0"/>
        <charset val="1"/>
      </rPr>
      <t xml:space="preserve">(</t>
    </r>
    <r>
      <rPr>
        <sz val="9"/>
        <color rgb="FFB9821F"/>
        <rFont val="Noto Sans CJK SC"/>
        <family val="2"/>
      </rPr>
      <t xml:space="preserve">분기 </t>
    </r>
    <r>
      <rPr>
        <sz val="9"/>
        <color rgb="FFB9821F"/>
        <rFont val="맑은 고딕"/>
        <family val="0"/>
        <charset val="1"/>
      </rPr>
      <t xml:space="preserve">4</t>
    </r>
    <r>
      <rPr>
        <sz val="9"/>
        <color rgb="FFB9821F"/>
        <rFont val="Noto Sans CJK SC"/>
        <family val="2"/>
      </rPr>
      <t xml:space="preserve">칸 </t>
    </r>
    <r>
      <rPr>
        <sz val="9"/>
        <color rgb="FFB9821F"/>
        <rFont val="맑은 고딕"/>
        <family val="0"/>
        <charset val="1"/>
      </rPr>
      <t xml:space="preserve">/ </t>
    </r>
    <r>
      <rPr>
        <sz val="9"/>
        <color rgb="FFB9821F"/>
        <rFont val="Noto Sans CJK SC"/>
        <family val="2"/>
      </rPr>
      <t xml:space="preserve">월별 </t>
    </r>
    <r>
      <rPr>
        <sz val="9"/>
        <color rgb="FFB9821F"/>
        <rFont val="맑은 고딕"/>
        <family val="0"/>
        <charset val="1"/>
      </rPr>
      <t xml:space="preserve">12</t>
    </r>
    <r>
      <rPr>
        <sz val="9"/>
        <color rgb="FFB9821F"/>
        <rFont val="Noto Sans CJK SC"/>
        <family val="2"/>
      </rPr>
      <t xml:space="preserve">칸</t>
    </r>
    <r>
      <rPr>
        <sz val="9"/>
        <color rgb="FFB9821F"/>
        <rFont val="맑은 고딕"/>
        <family val="0"/>
        <charset val="1"/>
      </rPr>
      <t xml:space="preserve">)</t>
    </r>
  </si>
  <si>
    <t xml:space="preserve">DS-09</t>
  </si>
  <si>
    <t xml:space="preserve">변경요청</t>
  </si>
  <si>
    <r>
      <rPr>
        <b val="true"/>
        <sz val="10"/>
        <color rgb="FF1D1D1F"/>
        <rFont val="Noto Sans CJK SC"/>
        <family val="2"/>
      </rPr>
      <t xml:space="preserve">확정된 목표의 변경 전</t>
    </r>
    <r>
      <rPr>
        <b val="true"/>
        <sz val="10"/>
        <color rgb="FF1D1D1F"/>
        <rFont val="맑은 고딕"/>
        <family val="0"/>
        <charset val="1"/>
      </rPr>
      <t xml:space="preserve">·</t>
    </r>
    <r>
      <rPr>
        <b val="true"/>
        <sz val="10"/>
        <color rgb="FF1D1D1F"/>
        <rFont val="Noto Sans CJK SC"/>
        <family val="2"/>
      </rPr>
      <t xml:space="preserve">후</t>
    </r>
    <r>
      <rPr>
        <b val="true"/>
        <sz val="10"/>
        <color rgb="FF1D1D1F"/>
        <rFont val="맑은 고딕"/>
        <family val="0"/>
        <charset val="1"/>
      </rPr>
      <t xml:space="preserve">·</t>
    </r>
    <r>
      <rPr>
        <b val="true"/>
        <sz val="10"/>
        <color rgb="FF1D1D1F"/>
        <rFont val="Noto Sans CJK SC"/>
        <family val="2"/>
      </rPr>
      <t xml:space="preserve">증감이 한 화면에 보이는지 본다</t>
    </r>
  </si>
  <si>
    <r>
      <rPr>
        <sz val="9"/>
        <color rgb="FF6E6E73"/>
        <rFont val="Noto Sans CJK SC"/>
        <family val="2"/>
      </rPr>
      <t xml:space="preserve">변경요청 화면을 결정하기 좋게 다시 만들었습니다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변경 전과 후</t>
    </r>
    <r>
      <rPr>
        <sz val="9"/>
        <color rgb="FF6E6E73"/>
        <rFont val="맑은 고딕"/>
        <family val="0"/>
        <charset val="1"/>
      </rPr>
      <t xml:space="preserve">, </t>
    </r>
    <r>
      <rPr>
        <sz val="9"/>
        <color rgb="FF6E6E73"/>
        <rFont val="Noto Sans CJK SC"/>
        <family val="2"/>
      </rPr>
      <t xml:space="preserve">얼마나 늘고 주는지</t>
    </r>
    <r>
      <rPr>
        <sz val="9"/>
        <color rgb="FF6E6E73"/>
        <rFont val="맑은 고딕"/>
        <family val="0"/>
        <charset val="1"/>
      </rPr>
      <t xml:space="preserve">, </t>
    </r>
    <r>
      <rPr>
        <sz val="9"/>
        <color rgb="FF6E6E73"/>
        <rFont val="Noto Sans CJK SC"/>
        <family val="2"/>
      </rPr>
      <t xml:space="preserve">그리고 그 변경이 달성률을 어떻게 바꾸는지까지 한 줄로 봅니다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</si>
  <si>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Noto Sans CJK SC"/>
        <family val="2"/>
      </rPr>
      <t xml:space="preserve">골프장 또는 식음 사업부의 확정된 목표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예</t>
    </r>
    <r>
      <rPr>
        <sz val="9"/>
        <color rgb="FF1D1D1F"/>
        <rFont val="맑은 고딕"/>
        <family val="0"/>
        <charset val="1"/>
      </rPr>
      <t xml:space="preserve">: </t>
    </r>
    <r>
      <rPr>
        <sz val="9"/>
        <color rgb="FF1D1D1F"/>
        <rFont val="Noto Sans CJK SC"/>
        <family val="2"/>
      </rPr>
      <t xml:space="preserve">식음 </t>
    </r>
    <r>
      <rPr>
        <sz val="9"/>
        <color rgb="FF1D1D1F"/>
        <rFont val="맑은 고딕"/>
        <family val="0"/>
        <charset val="1"/>
      </rPr>
      <t xml:space="preserve">1</t>
    </r>
    <r>
      <rPr>
        <sz val="9"/>
        <color rgb="FF1D1D1F"/>
        <rFont val="Noto Sans CJK SC"/>
        <family val="2"/>
      </rPr>
      <t xml:space="preserve">번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사업역량 강화 및 매출</t>
    </r>
    <r>
      <rPr>
        <sz val="9"/>
        <color rgb="FF1D1D1F"/>
        <rFont val="맑은 고딕"/>
        <family val="0"/>
        <charset val="1"/>
      </rPr>
      <t xml:space="preserve">/</t>
    </r>
    <r>
      <rPr>
        <sz val="9"/>
        <color rgb="FF1D1D1F"/>
        <rFont val="Noto Sans CJK SC"/>
        <family val="2"/>
      </rPr>
      <t xml:space="preserve">이익 개선</t>
    </r>
    <r>
      <rPr>
        <sz val="9"/>
        <color rgb="FF1D1D1F"/>
        <rFont val="맑은 고딕"/>
        <family val="0"/>
        <charset val="1"/>
      </rPr>
      <t xml:space="preserve">')</t>
    </r>
  </si>
  <si>
    <r>
      <rPr>
        <sz val="9"/>
        <color rgb="FF1D1D1F"/>
        <rFont val="Noto Sans CJK SC"/>
        <family val="2"/>
      </rPr>
      <t xml:space="preserve">① 확정된 목표의 상세 화면을 연다
② '변경요청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단추를 누른다
③ 목표값을 지금보다 크게 바꿔 요청을 올린다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사유도 적어본다</t>
    </r>
    <r>
      <rPr>
        <sz val="9"/>
        <color rgb="FF1D1D1F"/>
        <rFont val="맑은 고딕"/>
        <family val="0"/>
        <charset val="1"/>
      </rPr>
      <t xml:space="preserve">)
④ 사업계획 → '</t>
    </r>
    <r>
      <rPr>
        <sz val="9"/>
        <color rgb="FF1D1D1F"/>
        <rFont val="Noto Sans CJK SC"/>
        <family val="2"/>
      </rPr>
      <t xml:space="preserve">변경요청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으로 간다
⑤ 변경 전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변경 후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증감</t>
    </r>
    <r>
      <rPr>
        <sz val="9"/>
        <color rgb="FF1D1D1F"/>
        <rFont val="맑은 고딕"/>
        <family val="0"/>
        <charset val="1"/>
      </rPr>
      <t xml:space="preserve">(+N, +N%)</t>
    </r>
    <r>
      <rPr>
        <sz val="9"/>
        <color rgb="FF1D1D1F"/>
        <rFont val="Noto Sans CJK SC"/>
        <family val="2"/>
      </rPr>
      <t xml:space="preserve">이 나란히 보이는지 본다
⑥ 변경하면 달성률이 어떻게 되는지 적혀 있는지 본다
⑦ 사유를 비운 채로도 올릴 수 있는지 확인한다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권장이지 필수는 아님</t>
    </r>
    <r>
      <rPr>
        <sz val="9"/>
        <color rgb="FF1D1D1F"/>
        <rFont val="맑은 고딕"/>
        <family val="0"/>
        <charset val="1"/>
      </rPr>
      <t xml:space="preserve">)</t>
    </r>
  </si>
  <si>
    <r>
      <rPr>
        <sz val="9"/>
        <color rgb="FFB9821F"/>
        <rFont val="Noto Sans CJK SC"/>
        <family val="2"/>
      </rPr>
      <t xml:space="preserve">변경 전</t>
    </r>
    <r>
      <rPr>
        <sz val="9"/>
        <color rgb="FFB9821F"/>
        <rFont val="맑은 고딕"/>
        <family val="0"/>
        <charset val="1"/>
      </rPr>
      <t xml:space="preserve">·</t>
    </r>
    <r>
      <rPr>
        <sz val="9"/>
        <color rgb="FFB9821F"/>
        <rFont val="Noto Sans CJK SC"/>
        <family val="2"/>
      </rPr>
      <t xml:space="preserve">후</t>
    </r>
    <r>
      <rPr>
        <sz val="9"/>
        <color rgb="FFB9821F"/>
        <rFont val="맑은 고딕"/>
        <family val="0"/>
        <charset val="1"/>
      </rPr>
      <t xml:space="preserve">·</t>
    </r>
    <r>
      <rPr>
        <sz val="9"/>
        <color rgb="FFB9821F"/>
        <rFont val="Noto Sans CJK SC"/>
        <family val="2"/>
      </rPr>
      <t xml:space="preserve">증감이 한눈에 보이는지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달성률이 어떻게 바뀌는지 알려주는지</t>
    </r>
  </si>
  <si>
    <t xml:space="preserve">DS-10</t>
  </si>
  <si>
    <t xml:space="preserve">권한 경계</t>
  </si>
  <si>
    <t xml:space="preserve">내가 손댈 수 없는 것은 정말 막혀 있는지 본다</t>
  </si>
  <si>
    <r>
      <rPr>
        <sz val="9"/>
        <color rgb="FF6E6E73"/>
        <rFont val="Noto Sans CJK SC"/>
        <family val="2"/>
      </rPr>
      <t xml:space="preserve">역할에 따라 할 수 있는 일이 다릅니다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계열사 담당자는 확정된 목표를 직접 고치거나 지울 수 없고</t>
    </r>
    <r>
      <rPr>
        <sz val="9"/>
        <color rgb="FF6E6E73"/>
        <rFont val="맑은 고딕"/>
        <family val="0"/>
        <charset val="1"/>
      </rPr>
      <t xml:space="preserve">, </t>
    </r>
    <r>
      <rPr>
        <sz val="9"/>
        <color rgb="FF6E6E73"/>
        <rFont val="Noto Sans CJK SC"/>
        <family val="2"/>
      </rPr>
      <t xml:space="preserve">변경요청을 거쳐야 합니다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</si>
  <si>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sz val="9"/>
        <color rgb="FF1D1D1F"/>
        <rFont val="Noto Sans CJK SC"/>
        <family val="2"/>
      </rPr>
      <t xml:space="preserve">확정된 목표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골프장 </t>
    </r>
    <r>
      <rPr>
        <sz val="9"/>
        <color rgb="FF1D1D1F"/>
        <rFont val="맑은 고딕"/>
        <family val="0"/>
        <charset val="1"/>
      </rPr>
      <t xml:space="preserve">7</t>
    </r>
    <r>
      <rPr>
        <sz val="9"/>
        <color rgb="FF1D1D1F"/>
        <rFont val="Noto Sans CJK SC"/>
        <family val="2"/>
      </rPr>
      <t xml:space="preserve">번 등</t>
    </r>
    <r>
      <rPr>
        <sz val="9"/>
        <color rgb="FF1D1D1F"/>
        <rFont val="맑은 고딕"/>
        <family val="0"/>
        <charset val="1"/>
      </rPr>
      <t xml:space="preserve">)</t>
    </r>
    <r>
      <rPr>
        <sz val="9"/>
        <color rgb="FF1D1D1F"/>
        <rFont val="Noto Sans CJK SC"/>
        <family val="2"/>
      </rPr>
      <t xml:space="preserve">와 작성 중 목표</t>
    </r>
    <r>
      <rPr>
        <sz val="9"/>
        <color rgb="FF1D1D1F"/>
        <rFont val="맑은 고딕"/>
        <family val="0"/>
        <charset val="1"/>
      </rPr>
      <t xml:space="preserve">(FM 1</t>
    </r>
    <r>
      <rPr>
        <sz val="9"/>
        <color rgb="FF1D1D1F"/>
        <rFont val="Noto Sans CJK SC"/>
        <family val="2"/>
      </rPr>
      <t xml:space="preserve">번 등</t>
    </r>
    <r>
      <rPr>
        <sz val="9"/>
        <color rgb="FF1D1D1F"/>
        <rFont val="맑은 고딕"/>
        <family val="0"/>
        <charset val="1"/>
      </rPr>
      <t xml:space="preserve">)</t>
    </r>
    <r>
      <rPr>
        <sz val="9"/>
        <color rgb="FF1D1D1F"/>
        <rFont val="Noto Sans CJK SC"/>
        <family val="2"/>
      </rPr>
      <t xml:space="preserve">를 비교</t>
    </r>
  </si>
  <si>
    <r>
      <rPr>
        <sz val="9"/>
        <color rgb="FF1D1D1F"/>
        <rFont val="Noto Sans CJK SC"/>
        <family val="2"/>
      </rPr>
      <t xml:space="preserve">① 확정된 목표의 상세를 연다 →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수정</t>
    </r>
    <r>
      <rPr>
        <sz val="9"/>
        <color rgb="FF1D1D1F"/>
        <rFont val="맑은 고딕"/>
        <family val="0"/>
        <charset val="1"/>
      </rPr>
      <t xml:space="preserve">'·'</t>
    </r>
    <r>
      <rPr>
        <sz val="9"/>
        <color rgb="FF1D1D1F"/>
        <rFont val="Noto Sans CJK SC"/>
        <family val="2"/>
      </rPr>
      <t xml:space="preserve">삭제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단추가 있는지 본다
② 작성 중 목표의 상세를 연다 →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수정</t>
    </r>
    <r>
      <rPr>
        <sz val="9"/>
        <color rgb="FF1D1D1F"/>
        <rFont val="맑은 고딕"/>
        <family val="0"/>
        <charset val="1"/>
      </rPr>
      <t xml:space="preserve">'·'</t>
    </r>
    <r>
      <rPr>
        <sz val="9"/>
        <color rgb="FF1D1D1F"/>
        <rFont val="Noto Sans CJK SC"/>
        <family val="2"/>
      </rPr>
      <t xml:space="preserve">삭제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단추가 있는지 본다
③ 목록에서도 두 줄을 비교해 단추 차이를 본다
④ 주소창에 다른 회사 목표의 주소를 직접 넣어본다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강원심층수 목표 주소를 받아 시도</t>
    </r>
    <r>
      <rPr>
        <sz val="9"/>
        <color rgb="FF1D1D1F"/>
        <rFont val="맑은 고딕"/>
        <family val="0"/>
        <charset val="1"/>
      </rPr>
      <t xml:space="preserve">)
⑤ 설정 메뉴를 열어 보이는 항목이 무엇인지 본다</t>
    </r>
  </si>
  <si>
    <r>
      <rPr>
        <sz val="9"/>
        <color rgb="FFB9821F"/>
        <rFont val="Noto Sans CJK SC"/>
        <family val="2"/>
      </rPr>
      <t xml:space="preserve">확정 목표에는 수정</t>
    </r>
    <r>
      <rPr>
        <sz val="9"/>
        <color rgb="FFB9821F"/>
        <rFont val="맑은 고딕"/>
        <family val="0"/>
        <charset val="1"/>
      </rPr>
      <t xml:space="preserve">·</t>
    </r>
    <r>
      <rPr>
        <sz val="9"/>
        <color rgb="FFB9821F"/>
        <rFont val="Noto Sans CJK SC"/>
        <family val="2"/>
      </rPr>
      <t xml:space="preserve">삭제가 없는지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다른 회사 목표 주소로 직접 들어가도 막히는지</t>
    </r>
  </si>
  <si>
    <r>
      <rPr>
        <b val="true"/>
        <sz val="13"/>
        <color rgb="FF1D1D1F"/>
        <rFont val="Noto Sans CJK SC"/>
        <family val="2"/>
      </rPr>
      <t xml:space="preserve">업무 흐름 — 전략 세우기 → </t>
    </r>
    <r>
      <rPr>
        <b val="true"/>
        <sz val="13"/>
        <color rgb="FF1D1D1F"/>
        <rFont val="맑은 고딕"/>
        <family val="0"/>
        <charset val="1"/>
      </rPr>
      <t xml:space="preserve">SMART </t>
    </r>
    <r>
      <rPr>
        <b val="true"/>
        <sz val="13"/>
        <color rgb="FF1D1D1F"/>
        <rFont val="Noto Sans CJK SC"/>
        <family val="2"/>
      </rPr>
      <t xml:space="preserve">작성 → </t>
    </r>
    <r>
      <rPr>
        <b val="true"/>
        <sz val="13"/>
        <color rgb="FF1D1D1F"/>
        <rFont val="맑은 고딕"/>
        <family val="0"/>
        <charset val="1"/>
      </rPr>
      <t xml:space="preserve">KPI </t>
    </r>
    <r>
      <rPr>
        <b val="true"/>
        <sz val="13"/>
        <color rgb="FF1D1D1F"/>
        <rFont val="Noto Sans CJK SC"/>
        <family val="2"/>
      </rPr>
      <t xml:space="preserve">설정 → 측정기준 수립 → 검토 → 실적</t>
    </r>
  </si>
  <si>
    <t xml:space="preserve">← 자동 집계</t>
  </si>
  <si>
    <t xml:space="preserve">단계</t>
  </si>
  <si>
    <t xml:space="preserve">이 단계에서 하는 일</t>
  </si>
  <si>
    <r>
      <rPr>
        <b val="true"/>
        <sz val="10"/>
        <color rgb="FFFFFFFF"/>
        <rFont val="Noto Sans CJK SC"/>
        <family val="2"/>
      </rPr>
      <t xml:space="preserve">연습용 상황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읽고 시작하세요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</si>
  <si>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먼저 생각해볼 것  ← 화면 켜기 전에 종이에</t>
  </si>
  <si>
    <r>
      <rPr>
        <b val="true"/>
        <sz val="10"/>
        <color rgb="FFFFFFFF"/>
        <rFont val="Noto Sans CJK SC"/>
        <family val="2"/>
      </rPr>
      <t xml:space="preserve">시스템에서 할 일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순서대로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</si>
  <si>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막혔던 점 </t>
    </r>
    <r>
      <rPr>
        <b val="true"/>
        <sz val="10"/>
        <color rgb="FFFFFFFF"/>
        <rFont val="맑은 고딕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의견</t>
    </r>
  </si>
  <si>
    <r>
      <rPr>
        <b val="true"/>
        <sz val="11"/>
        <color rgb="FF1D1D1F"/>
        <rFont val="Noto Sans CJK SC"/>
        <family val="2"/>
      </rPr>
      <t xml:space="preserve">강원심층수 </t>
    </r>
    <r>
      <rPr>
        <b val="true"/>
        <sz val="11"/>
        <color rgb="FF1D1D1F"/>
        <rFont val="맑은 고딕"/>
        <family val="0"/>
        <charset val="1"/>
      </rPr>
      <t xml:space="preserve">· </t>
    </r>
    <r>
      <rPr>
        <b val="true"/>
        <sz val="11"/>
        <color rgb="FF1D1D1F"/>
        <rFont val="Noto Sans CJK SC"/>
        <family val="2"/>
      </rPr>
      <t xml:space="preserve">류원준 대리  —  세 건이 이어지는 한 번의 업무입니다</t>
    </r>
    <r>
      <rPr>
        <b val="true"/>
        <sz val="11"/>
        <color rgb="FF1D1D1F"/>
        <rFont val="맑은 고딕"/>
        <family val="0"/>
        <charset val="1"/>
      </rPr>
      <t xml:space="preserve">. </t>
    </r>
    <r>
      <rPr>
        <b val="true"/>
        <sz val="11"/>
        <color rgb="FF1D1D1F"/>
        <rFont val="Noto Sans CJK SC"/>
        <family val="2"/>
      </rPr>
      <t xml:space="preserve">가능하면 하루에 끝내주세요</t>
    </r>
    <r>
      <rPr>
        <b val="true"/>
        <sz val="11"/>
        <color rgb="FF1D1D1F"/>
        <rFont val="맑은 고딕"/>
        <family val="0"/>
        <charset val="1"/>
      </rPr>
      <t xml:space="preserve">.</t>
    </r>
  </si>
  <si>
    <t xml:space="preserve">WK-01</t>
  </si>
  <si>
    <r>
      <rPr>
        <b val="true"/>
        <sz val="9"/>
        <color rgb="FF1D1D1F"/>
        <rFont val="맑은 고딕"/>
        <family val="0"/>
        <charset val="1"/>
      </rPr>
      <t xml:space="preserve">1</t>
    </r>
    <r>
      <rPr>
        <b val="true"/>
        <sz val="9"/>
        <color rgb="FF1D1D1F"/>
        <rFont val="Noto Sans CJK SC"/>
        <family val="2"/>
      </rPr>
      <t xml:space="preserve">단계 </t>
    </r>
    <r>
      <rPr>
        <b val="true"/>
        <sz val="9"/>
        <color rgb="FF1D1D1F"/>
        <rFont val="맑은 고딕"/>
        <family val="0"/>
        <charset val="1"/>
      </rPr>
      <t xml:space="preserve">· </t>
    </r>
    <r>
      <rPr>
        <b val="true"/>
        <sz val="9"/>
        <color rgb="FF1D1D1F"/>
        <rFont val="Noto Sans CJK SC"/>
        <family val="2"/>
      </rPr>
      <t xml:space="preserve">전략 세우기
</t>
    </r>
    <r>
      <rPr>
        <b val="true"/>
        <sz val="9"/>
        <color rgb="FF1D1D1F"/>
        <rFont val="맑은 고딕"/>
        <family val="0"/>
        <charset val="1"/>
      </rPr>
      <t xml:space="preserve">(</t>
    </r>
    <r>
      <rPr>
        <b val="true"/>
        <sz val="9"/>
        <color rgb="FF1D1D1F"/>
        <rFont val="Noto Sans CJK SC"/>
        <family val="2"/>
      </rPr>
      <t xml:space="preserve">약 </t>
    </r>
    <r>
      <rPr>
        <b val="true"/>
        <sz val="9"/>
        <color rgb="FF1D1D1F"/>
        <rFont val="맑은 고딕"/>
        <family val="0"/>
        <charset val="1"/>
      </rPr>
      <t xml:space="preserve">25</t>
    </r>
    <r>
      <rPr>
        <b val="true"/>
        <sz val="9"/>
        <color rgb="FF1D1D1F"/>
        <rFont val="Noto Sans CJK SC"/>
        <family val="2"/>
      </rPr>
      <t xml:space="preserve">분</t>
    </r>
    <r>
      <rPr>
        <b val="true"/>
        <sz val="9"/>
        <color rgb="FF1D1D1F"/>
        <rFont val="맑은 고딕"/>
        <family val="0"/>
        <charset val="1"/>
      </rPr>
      <t xml:space="preserve">)</t>
    </r>
  </si>
  <si>
    <r>
      <rPr>
        <b val="true"/>
        <sz val="10"/>
        <color rgb="FF1D1D1F"/>
        <rFont val="Noto Sans CJK SC"/>
        <family val="2"/>
      </rPr>
      <t xml:space="preserve">회사 상황을 보고 올해 할 일을 하나 정한 뒤</t>
    </r>
    <r>
      <rPr>
        <b val="true"/>
        <sz val="10"/>
        <color rgb="FF1D1D1F"/>
        <rFont val="맑은 고딕"/>
        <family val="0"/>
        <charset val="1"/>
      </rPr>
      <t xml:space="preserve">, </t>
    </r>
    <r>
      <rPr>
        <b val="true"/>
        <sz val="10"/>
        <color rgb="FF1D1D1F"/>
        <rFont val="Noto Sans CJK SC"/>
        <family val="2"/>
      </rPr>
      <t xml:space="preserve">전략 이름과 </t>
    </r>
    <r>
      <rPr>
        <b val="true"/>
        <sz val="10"/>
        <color rgb="FF1D1D1F"/>
        <rFont val="맑은 고딕"/>
        <family val="0"/>
        <charset val="1"/>
      </rPr>
      <t xml:space="preserve">SMART </t>
    </r>
    <r>
      <rPr>
        <b val="true"/>
        <sz val="10"/>
        <color rgb="FF1D1D1F"/>
        <rFont val="Noto Sans CJK SC"/>
        <family val="2"/>
      </rPr>
      <t xml:space="preserve">다섯 칸을 쓴다</t>
    </r>
  </si>
  <si>
    <r>
      <rPr>
        <sz val="9"/>
        <color rgb="FF1D1D1F"/>
        <rFont val="맑은 고딕"/>
        <family val="0"/>
        <charset val="1"/>
      </rPr>
      <t xml:space="preserve">[</t>
    </r>
    <r>
      <rPr>
        <sz val="9"/>
        <color rgb="FF1D1D1F"/>
        <rFont val="Noto Sans CJK SC"/>
        <family val="2"/>
      </rPr>
      <t xml:space="preserve">연습용 상황 — 실제 계획이 아닙니다</t>
    </r>
    <r>
      <rPr>
        <sz val="9"/>
        <color rgb="FF1D1D1F"/>
        <rFont val="맑은 고딕"/>
        <family val="0"/>
        <charset val="1"/>
      </rPr>
      <t xml:space="preserve">]
</t>
    </r>
    <r>
      <rPr>
        <sz val="9"/>
        <color rgb="FF1D1D1F"/>
        <rFont val="Noto Sans CJK SC"/>
        <family val="2"/>
      </rPr>
      <t xml:space="preserve">강원심층수 영업은 정기배송 회원을 늘리는 데 집중해왔습니다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올해 목표는 </t>
    </r>
    <r>
      <rPr>
        <sz val="9"/>
        <color rgb="FF1D1D1F"/>
        <rFont val="맑은 고딕"/>
        <family val="0"/>
        <charset val="1"/>
      </rPr>
      <t xml:space="preserve">11,500</t>
    </r>
    <r>
      <rPr>
        <sz val="9"/>
        <color rgb="FF1D1D1F"/>
        <rFont val="Noto Sans CJK SC"/>
        <family val="2"/>
      </rPr>
      <t xml:space="preserve">명입니다</t>
    </r>
    <r>
      <rPr>
        <sz val="9"/>
        <color rgb="FF1D1D1F"/>
        <rFont val="맑은 고딕"/>
        <family val="0"/>
        <charset val="1"/>
      </rPr>
      <t xml:space="preserve">.
</t>
    </r>
    <r>
      <rPr>
        <sz val="9"/>
        <color rgb="FF1D1D1F"/>
        <rFont val="Noto Sans CJK SC"/>
        <family val="2"/>
      </rPr>
      <t xml:space="preserve">그런데 신규 가입은 매달 꾸준히 느는데 전체 회원수는 좀처럼 늘지 않습니다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들어오는 만큼 빠져나간다는 뜻입니다</t>
    </r>
    <r>
      <rPr>
        <sz val="9"/>
        <color rgb="FF1D1D1F"/>
        <rFont val="맑은 고딕"/>
        <family val="0"/>
        <charset val="1"/>
      </rPr>
      <t xml:space="preserve">.
</t>
    </r>
    <r>
      <rPr>
        <sz val="9"/>
        <color rgb="FF1D1D1F"/>
        <rFont val="Noto Sans CJK SC"/>
        <family val="2"/>
      </rPr>
      <t xml:space="preserve">빠져나가는 회원을 붙잡는 일을 올해 과제로 삼는다고 해봅시다</t>
    </r>
    <r>
      <rPr>
        <sz val="9"/>
        <color rgb="FF1D1D1F"/>
        <rFont val="맑은 고딕"/>
        <family val="0"/>
        <charset val="1"/>
      </rPr>
      <t xml:space="preserve">.</t>
    </r>
  </si>
  <si>
    <r>
      <rPr>
        <sz val="9"/>
        <color rgb="FF8A6D1F"/>
        <rFont val="Noto Sans CJK SC"/>
        <family val="2"/>
      </rPr>
      <t xml:space="preserve">종이에 먼저 적어보세요</t>
    </r>
    <r>
      <rPr>
        <sz val="9"/>
        <color rgb="FF8A6D1F"/>
        <rFont val="맑은 고딕"/>
        <family val="0"/>
        <charset val="1"/>
      </rPr>
      <t xml:space="preserve">. </t>
    </r>
    <r>
      <rPr>
        <sz val="9"/>
        <color rgb="FF8A6D1F"/>
        <rFont val="Noto Sans CJK SC"/>
        <family val="2"/>
      </rPr>
      <t xml:space="preserve">시스템은 그다음입니다</t>
    </r>
    <r>
      <rPr>
        <sz val="9"/>
        <color rgb="FF8A6D1F"/>
        <rFont val="맑은 고딕"/>
        <family val="0"/>
        <charset val="1"/>
      </rPr>
      <t xml:space="preserve">.
① '</t>
    </r>
    <r>
      <rPr>
        <sz val="9"/>
        <color rgb="FF8A6D1F"/>
        <rFont val="Noto Sans CJK SC"/>
        <family val="2"/>
      </rPr>
      <t xml:space="preserve">회원을 늘리는 것</t>
    </r>
    <r>
      <rPr>
        <sz val="9"/>
        <color rgb="FF8A6D1F"/>
        <rFont val="맑은 고딕"/>
        <family val="0"/>
        <charset val="1"/>
      </rPr>
      <t xml:space="preserve">'</t>
    </r>
    <r>
      <rPr>
        <sz val="9"/>
        <color rgb="FF8A6D1F"/>
        <rFont val="Noto Sans CJK SC"/>
        <family val="2"/>
      </rPr>
      <t xml:space="preserve">과 </t>
    </r>
    <r>
      <rPr>
        <sz val="9"/>
        <color rgb="FF8A6D1F"/>
        <rFont val="맑은 고딕"/>
        <family val="0"/>
        <charset val="1"/>
      </rPr>
      <t xml:space="preserve">'</t>
    </r>
    <r>
      <rPr>
        <sz val="9"/>
        <color rgb="FF8A6D1F"/>
        <rFont val="Noto Sans CJK SC"/>
        <family val="2"/>
      </rPr>
      <t xml:space="preserve">빠져나가는 걸 막는 것</t>
    </r>
    <r>
      <rPr>
        <sz val="9"/>
        <color rgb="FF8A6D1F"/>
        <rFont val="맑은 고딕"/>
        <family val="0"/>
        <charset val="1"/>
      </rPr>
      <t xml:space="preserve">'</t>
    </r>
    <r>
      <rPr>
        <sz val="9"/>
        <color rgb="FF8A6D1F"/>
        <rFont val="Noto Sans CJK SC"/>
        <family val="2"/>
      </rPr>
      <t xml:space="preserve">은 같은 일인가요</t>
    </r>
    <r>
      <rPr>
        <sz val="9"/>
        <color rgb="FF8A6D1F"/>
        <rFont val="맑은 고딕"/>
        <family val="0"/>
        <charset val="1"/>
      </rPr>
      <t xml:space="preserve">, </t>
    </r>
    <r>
      <rPr>
        <sz val="9"/>
        <color rgb="FF8A6D1F"/>
        <rFont val="Noto Sans CJK SC"/>
        <family val="2"/>
      </rPr>
      <t xml:space="preserve">다른 일인가요</t>
    </r>
    <r>
      <rPr>
        <sz val="9"/>
        <color rgb="FF8A6D1F"/>
        <rFont val="맑은 고딕"/>
        <family val="0"/>
        <charset val="1"/>
      </rPr>
      <t xml:space="preserve">? </t>
    </r>
    <r>
      <rPr>
        <sz val="9"/>
        <color rgb="FF8A6D1F"/>
        <rFont val="Noto Sans CJK SC"/>
        <family val="2"/>
      </rPr>
      <t xml:space="preserve">다르다면 뭐가 다릅니까</t>
    </r>
    <r>
      <rPr>
        <sz val="9"/>
        <color rgb="FF8A6D1F"/>
        <rFont val="맑은 고딕"/>
        <family val="0"/>
        <charset val="1"/>
      </rPr>
      <t xml:space="preserve">?
② 빠져나가는 걸 막으려면 구체적으로 뭘 하는 겁니까? (</t>
    </r>
    <r>
      <rPr>
        <sz val="9"/>
        <color rgb="FF8A6D1F"/>
        <rFont val="Noto Sans CJK SC"/>
        <family val="2"/>
      </rPr>
      <t xml:space="preserve">전화를 겁니까</t>
    </r>
    <r>
      <rPr>
        <sz val="9"/>
        <color rgb="FF8A6D1F"/>
        <rFont val="맑은 고딕"/>
        <family val="0"/>
        <charset val="1"/>
      </rPr>
      <t xml:space="preserve">, </t>
    </r>
    <r>
      <rPr>
        <sz val="9"/>
        <color rgb="FF8A6D1F"/>
        <rFont val="Noto Sans CJK SC"/>
        <family val="2"/>
      </rPr>
      <t xml:space="preserve">혜택을 줍니까</t>
    </r>
    <r>
      <rPr>
        <sz val="9"/>
        <color rgb="FF8A6D1F"/>
        <rFont val="맑은 고딕"/>
        <family val="0"/>
        <charset val="1"/>
      </rPr>
      <t xml:space="preserve">, </t>
    </r>
    <r>
      <rPr>
        <sz val="9"/>
        <color rgb="FF8A6D1F"/>
        <rFont val="Noto Sans CJK SC"/>
        <family val="2"/>
      </rPr>
      <t xml:space="preserve">배송 주기를 바꿉니까</t>
    </r>
    <r>
      <rPr>
        <sz val="9"/>
        <color rgb="FF8A6D1F"/>
        <rFont val="맑은 고딕"/>
        <family val="0"/>
        <charset val="1"/>
      </rPr>
      <t xml:space="preserve">)
③ 그 일을 안 하면 연말에 무슨 일이 벌어집니까?
④ 올해 그 일을 할 수 있다고 보는 근거는 뭡니까? (</t>
    </r>
    <r>
      <rPr>
        <sz val="9"/>
        <color rgb="FF8A6D1F"/>
        <rFont val="Noto Sans CJK SC"/>
        <family val="2"/>
      </rPr>
      <t xml:space="preserve">인력</t>
    </r>
    <r>
      <rPr>
        <sz val="9"/>
        <color rgb="FF8A6D1F"/>
        <rFont val="맑은 고딕"/>
        <family val="0"/>
        <charset val="1"/>
      </rPr>
      <t xml:space="preserve">·</t>
    </r>
    <r>
      <rPr>
        <sz val="9"/>
        <color rgb="FF8A6D1F"/>
        <rFont val="Noto Sans CJK SC"/>
        <family val="2"/>
      </rPr>
      <t xml:space="preserve">예산</t>
    </r>
    <r>
      <rPr>
        <sz val="9"/>
        <color rgb="FF8A6D1F"/>
        <rFont val="맑은 고딕"/>
        <family val="0"/>
        <charset val="1"/>
      </rPr>
      <t xml:space="preserve">·</t>
    </r>
    <r>
      <rPr>
        <sz val="9"/>
        <color rgb="FF8A6D1F"/>
        <rFont val="Noto Sans CJK SC"/>
        <family val="2"/>
      </rPr>
      <t xml:space="preserve">이미 가진 데이터</t>
    </r>
    <r>
      <rPr>
        <sz val="9"/>
        <color rgb="FF8A6D1F"/>
        <rFont val="맑은 고딕"/>
        <family val="0"/>
        <charset val="1"/>
      </rPr>
      <t xml:space="preserve">)</t>
    </r>
  </si>
  <si>
    <r>
      <rPr>
        <sz val="9"/>
        <color rgb="FF1D1D1F"/>
        <rFont val="Noto Sans CJK SC"/>
        <family val="2"/>
      </rPr>
      <t xml:space="preserve">① 사업계획 →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새 목표 작성</t>
    </r>
    <r>
      <rPr>
        <sz val="9"/>
        <color rgb="FF1D1D1F"/>
        <rFont val="맑은 고딕"/>
        <family val="0"/>
        <charset val="1"/>
      </rPr>
      <t xml:space="preserve">'
② 1</t>
    </r>
    <r>
      <rPr>
        <sz val="9"/>
        <color rgb="FF1D1D1F"/>
        <rFont val="Noto Sans CJK SC"/>
        <family val="2"/>
      </rPr>
      <t xml:space="preserve">단계</t>
    </r>
    <r>
      <rPr>
        <sz val="9"/>
        <color rgb="FF1D1D1F"/>
        <rFont val="맑은 고딕"/>
        <family val="0"/>
        <charset val="1"/>
      </rPr>
      <t xml:space="preserve">: </t>
    </r>
    <r>
      <rPr>
        <sz val="9"/>
        <color rgb="FF1D1D1F"/>
        <rFont val="Noto Sans CJK SC"/>
        <family val="2"/>
      </rPr>
      <t xml:space="preserve">사업부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영업</t>
    </r>
    <r>
      <rPr>
        <sz val="9"/>
        <color rgb="FF1D1D1F"/>
        <rFont val="맑은 고딕"/>
        <family val="0"/>
        <charset val="1"/>
      </rPr>
      <t xml:space="preserve">', </t>
    </r>
    <r>
      <rPr>
        <sz val="9"/>
        <color rgb="FF1D1D1F"/>
        <rFont val="Noto Sans CJK SC"/>
        <family val="2"/>
      </rPr>
      <t xml:space="preserve">전략 이름에 위 ①</t>
    </r>
    <r>
      <rPr>
        <sz val="9"/>
        <color rgb="FF1D1D1F"/>
        <rFont val="맑은 고딕"/>
        <family val="0"/>
        <charset val="1"/>
      </rPr>
      <t xml:space="preserve">~③</t>
    </r>
    <r>
      <rPr>
        <sz val="9"/>
        <color rgb="FF1D1D1F"/>
        <rFont val="Noto Sans CJK SC"/>
        <family val="2"/>
      </rPr>
      <t xml:space="preserve">의 답을 </t>
    </r>
    <r>
      <rPr>
        <sz val="9"/>
        <color rgb="FF1D1D1F"/>
        <rFont val="맑은 고딕"/>
        <family val="0"/>
        <charset val="1"/>
      </rPr>
      <t xml:space="preserve">15~25</t>
    </r>
    <r>
      <rPr>
        <sz val="9"/>
        <color rgb="FF1D1D1F"/>
        <rFont val="Noto Sans CJK SC"/>
        <family val="2"/>
      </rPr>
      <t xml:space="preserve">자로 압축해 적는다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앞에 </t>
    </r>
    <r>
      <rPr>
        <sz val="9"/>
        <color rgb="FF1D1D1F"/>
        <rFont val="맑은 고딕"/>
        <family val="0"/>
        <charset val="1"/>
      </rPr>
      <t xml:space="preserve">[</t>
    </r>
    <r>
      <rPr>
        <sz val="9"/>
        <color rgb="FF1D1D1F"/>
        <rFont val="Noto Sans CJK SC"/>
        <family val="2"/>
      </rPr>
      <t xml:space="preserve">연습</t>
    </r>
    <r>
      <rPr>
        <sz val="9"/>
        <color rgb="FF1D1D1F"/>
        <rFont val="맑은 고딕"/>
        <family val="0"/>
        <charset val="1"/>
      </rPr>
      <t xml:space="preserve">] </t>
    </r>
    <r>
      <rPr>
        <sz val="9"/>
        <color rgb="FF1D1D1F"/>
        <rFont val="Noto Sans CJK SC"/>
        <family val="2"/>
      </rPr>
      <t xml:space="preserve">을 붙인다
③ 2단계는 일단 건너뛰고 </t>
    </r>
    <r>
      <rPr>
        <sz val="9"/>
        <color rgb="FF1D1D1F"/>
        <rFont val="맑은 고딕"/>
        <family val="0"/>
        <charset val="1"/>
      </rPr>
      <t xml:space="preserve">3</t>
    </r>
    <r>
      <rPr>
        <sz val="9"/>
        <color rgb="FF1D1D1F"/>
        <rFont val="Noto Sans CJK SC"/>
        <family val="2"/>
      </rPr>
      <t xml:space="preserve">단계로 간다
④ 3단계에서 </t>
    </r>
    <r>
      <rPr>
        <sz val="9"/>
        <color rgb="FF1D1D1F"/>
        <rFont val="맑은 고딕"/>
        <family val="0"/>
        <charset val="1"/>
      </rPr>
      <t xml:space="preserve">SMART </t>
    </r>
    <r>
      <rPr>
        <sz val="9"/>
        <color rgb="FF1D1D1F"/>
        <rFont val="Noto Sans CJK SC"/>
        <family val="2"/>
      </rPr>
      <t xml:space="preserve">다섯 칸을 채운다
   · S 무엇을 할지 </t>
    </r>
    <r>
      <rPr>
        <sz val="9"/>
        <color rgb="FF1D1D1F"/>
        <rFont val="맑은 고딕"/>
        <family val="0"/>
        <charset val="1"/>
      </rPr>
      <t xml:space="preserve">= ②</t>
    </r>
    <r>
      <rPr>
        <sz val="9"/>
        <color rgb="FF1D1D1F"/>
        <rFont val="Noto Sans CJK SC"/>
        <family val="2"/>
      </rPr>
      <t xml:space="preserve">번 답
   · M 어떻게 잴지 </t>
    </r>
    <r>
      <rPr>
        <sz val="9"/>
        <color rgb="FF1D1D1F"/>
        <rFont val="맑은 고딕"/>
        <family val="0"/>
        <charset val="1"/>
      </rPr>
      <t xml:space="preserve">= </t>
    </r>
    <r>
      <rPr>
        <sz val="9"/>
        <color rgb="FF1D1D1F"/>
        <rFont val="Noto Sans CJK SC"/>
        <family val="2"/>
      </rPr>
      <t xml:space="preserve">아직 모르면 비워둔다 </t>
    </r>
    <r>
      <rPr>
        <sz val="9"/>
        <color rgb="FF1D1D1F"/>
        <rFont val="맑은 고딕"/>
        <family val="0"/>
        <charset val="1"/>
      </rPr>
      <t xml:space="preserve">(WK-02</t>
    </r>
    <r>
      <rPr>
        <sz val="9"/>
        <color rgb="FF1D1D1F"/>
        <rFont val="Noto Sans CJK SC"/>
        <family val="2"/>
      </rPr>
      <t xml:space="preserve">에서 정합니다</t>
    </r>
    <r>
      <rPr>
        <sz val="9"/>
        <color rgb="FF1D1D1F"/>
        <rFont val="맑은 고딕"/>
        <family val="0"/>
        <charset val="1"/>
      </rPr>
      <t xml:space="preserve">)
   · A </t>
    </r>
    <r>
      <rPr>
        <sz val="9"/>
        <color rgb="FF1D1D1F"/>
        <rFont val="Noto Sans CJK SC"/>
        <family val="2"/>
      </rPr>
      <t xml:space="preserve">가능한 근거 </t>
    </r>
    <r>
      <rPr>
        <sz val="9"/>
        <color rgb="FF1D1D1F"/>
        <rFont val="맑은 고딕"/>
        <family val="0"/>
        <charset val="1"/>
      </rPr>
      <t xml:space="preserve">= ④</t>
    </r>
    <r>
      <rPr>
        <sz val="9"/>
        <color rgb="FF1D1D1F"/>
        <rFont val="Noto Sans CJK SC"/>
        <family val="2"/>
      </rPr>
      <t xml:space="preserve">번 답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숫자가 있으면 숫자로
   · R 왜 중요한지 </t>
    </r>
    <r>
      <rPr>
        <sz val="9"/>
        <color rgb="FF1D1D1F"/>
        <rFont val="맑은 고딕"/>
        <family val="0"/>
        <charset val="1"/>
      </rPr>
      <t xml:space="preserve">= ③</t>
    </r>
    <r>
      <rPr>
        <sz val="9"/>
        <color rgb="FF1D1D1F"/>
        <rFont val="Noto Sans CJK SC"/>
        <family val="2"/>
      </rPr>
      <t xml:space="preserve">번 답
   · T 언제까지 </t>
    </r>
    <r>
      <rPr>
        <sz val="9"/>
        <color rgb="FF1D1D1F"/>
        <rFont val="맑은 고딕"/>
        <family val="0"/>
        <charset val="1"/>
      </rPr>
      <t xml:space="preserve">= </t>
    </r>
    <r>
      <rPr>
        <sz val="9"/>
        <color rgb="FF1D1D1F"/>
        <rFont val="Noto Sans CJK SC"/>
        <family val="2"/>
      </rPr>
      <t xml:space="preserve">중간 점검 시점을 포함해서
⑤ 저장하고 목록으로 나간다</t>
    </r>
  </si>
  <si>
    <r>
      <rPr>
        <sz val="9"/>
        <color rgb="FFB9821F"/>
        <rFont val="Noto Sans CJK SC"/>
        <family val="2"/>
      </rPr>
      <t xml:space="preserve">전략 이름이 목록에 한 줄로 읽히는지</t>
    </r>
    <r>
      <rPr>
        <sz val="9"/>
        <color rgb="FFB9821F"/>
        <rFont val="맑은 고딕"/>
        <family val="0"/>
        <charset val="1"/>
      </rPr>
      <t xml:space="preserve">, SMART</t>
    </r>
    <r>
      <rPr>
        <sz val="9"/>
        <color rgb="FFB9821F"/>
        <rFont val="Noto Sans CJK SC"/>
        <family val="2"/>
      </rPr>
      <t xml:space="preserve">를 다 못 채워도 저장되는지</t>
    </r>
  </si>
  <si>
    <t xml:space="preserve">WK-02</t>
  </si>
  <si>
    <r>
      <rPr>
        <b val="true"/>
        <sz val="9"/>
        <color rgb="FF1D1D1F"/>
        <rFont val="맑은 고딕"/>
        <family val="0"/>
        <charset val="1"/>
      </rPr>
      <t xml:space="preserve">2</t>
    </r>
    <r>
      <rPr>
        <b val="true"/>
        <sz val="9"/>
        <color rgb="FF1D1D1F"/>
        <rFont val="Noto Sans CJK SC"/>
        <family val="2"/>
      </rPr>
      <t xml:space="preserve">단계 </t>
    </r>
    <r>
      <rPr>
        <b val="true"/>
        <sz val="9"/>
        <color rgb="FF1D1D1F"/>
        <rFont val="맑은 고딕"/>
        <family val="0"/>
        <charset val="1"/>
      </rPr>
      <t xml:space="preserve">· </t>
    </r>
    <r>
      <rPr>
        <b val="true"/>
        <sz val="9"/>
        <color rgb="FF1D1D1F"/>
        <rFont val="Noto Sans CJK SC"/>
        <family val="2"/>
      </rPr>
      <t xml:space="preserve">무엇으로 잴지 정하기
</t>
    </r>
    <r>
      <rPr>
        <b val="true"/>
        <sz val="9"/>
        <color rgb="FF1D1D1F"/>
        <rFont val="맑은 고딕"/>
        <family val="0"/>
        <charset val="1"/>
      </rPr>
      <t xml:space="preserve">(</t>
    </r>
    <r>
      <rPr>
        <b val="true"/>
        <sz val="9"/>
        <color rgb="FF1D1D1F"/>
        <rFont val="Noto Sans CJK SC"/>
        <family val="2"/>
      </rPr>
      <t xml:space="preserve">약 </t>
    </r>
    <r>
      <rPr>
        <b val="true"/>
        <sz val="9"/>
        <color rgb="FF1D1D1F"/>
        <rFont val="맑은 고딕"/>
        <family val="0"/>
        <charset val="1"/>
      </rPr>
      <t xml:space="preserve">30</t>
    </r>
    <r>
      <rPr>
        <b val="true"/>
        <sz val="9"/>
        <color rgb="FF1D1D1F"/>
        <rFont val="Noto Sans CJK SC"/>
        <family val="2"/>
      </rPr>
      <t xml:space="preserve">분</t>
    </r>
    <r>
      <rPr>
        <b val="true"/>
        <sz val="9"/>
        <color rgb="FF1D1D1F"/>
        <rFont val="맑은 고딕"/>
        <family val="0"/>
        <charset val="1"/>
      </rPr>
      <t xml:space="preserve">)</t>
    </r>
  </si>
  <si>
    <r>
      <rPr>
        <b val="true"/>
        <sz val="10"/>
        <color rgb="FF1D1D1F"/>
        <rFont val="Noto Sans CJK SC"/>
        <family val="2"/>
      </rPr>
      <t xml:space="preserve">전략을 무엇으로 측정할지 정하고</t>
    </r>
    <r>
      <rPr>
        <b val="true"/>
        <sz val="10"/>
        <color rgb="FF1D1D1F"/>
        <rFont val="맑은 고딕"/>
        <family val="0"/>
        <charset val="1"/>
      </rPr>
      <t xml:space="preserve">, KPI </t>
    </r>
    <r>
      <rPr>
        <b val="true"/>
        <sz val="10"/>
        <color rgb="FF1D1D1F"/>
        <rFont val="Noto Sans CJK SC"/>
        <family val="2"/>
      </rPr>
      <t xml:space="preserve">기준정보에 측정 규칙을 등록한 뒤 목표에 연결한다</t>
    </r>
  </si>
  <si>
    <r>
      <rPr>
        <sz val="9"/>
        <color rgb="FF1D1D1F"/>
        <rFont val="맑은 고딕"/>
        <family val="0"/>
        <charset val="1"/>
      </rPr>
      <t xml:space="preserve">[</t>
    </r>
    <r>
      <rPr>
        <sz val="9"/>
        <color rgb="FF1D1D1F"/>
        <rFont val="Noto Sans CJK SC"/>
        <family val="2"/>
      </rPr>
      <t xml:space="preserve">연습용 상황 이어서</t>
    </r>
    <r>
      <rPr>
        <sz val="9"/>
        <color rgb="FF1D1D1F"/>
        <rFont val="맑은 고딕"/>
        <family val="0"/>
        <charset val="1"/>
      </rPr>
      <t xml:space="preserve">]
</t>
    </r>
    <r>
      <rPr>
        <sz val="9"/>
        <color rgb="FF1D1D1F"/>
        <rFont val="Noto Sans CJK SC"/>
        <family val="2"/>
      </rPr>
      <t xml:space="preserve">전략은 정했습니다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이제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잘 되고 있는지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를 무엇으로 볼지 정할 차례입니다</t>
    </r>
    <r>
      <rPr>
        <sz val="9"/>
        <color rgb="FF1D1D1F"/>
        <rFont val="맑은 고딕"/>
        <family val="0"/>
        <charset val="1"/>
      </rPr>
      <t xml:space="preserve">.
</t>
    </r>
    <r>
      <rPr>
        <sz val="9"/>
        <color rgb="FF1D1D1F"/>
        <rFont val="Noto Sans CJK SC"/>
        <family val="2"/>
      </rPr>
      <t xml:space="preserve">이 단계에서 틀리면 연말에 달성률이 엉뚱하게 나옵니다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측정 규칙을 먼저 못 박아두는 이유입니다</t>
    </r>
    <r>
      <rPr>
        <sz val="9"/>
        <color rgb="FF1D1D1F"/>
        <rFont val="맑은 고딕"/>
        <family val="0"/>
        <charset val="1"/>
      </rPr>
      <t xml:space="preserve">.</t>
    </r>
  </si>
  <si>
    <r>
      <rPr>
        <sz val="9"/>
        <color rgb="FF8A6D1F"/>
        <rFont val="Noto Sans CJK SC"/>
        <family val="2"/>
      </rPr>
      <t xml:space="preserve">역시 종이에 먼저 적어보세요</t>
    </r>
    <r>
      <rPr>
        <sz val="9"/>
        <color rgb="FF8A6D1F"/>
        <rFont val="맑은 고딕"/>
        <family val="0"/>
        <charset val="1"/>
      </rPr>
      <t xml:space="preserve">.
① 이탈률(%)</t>
    </r>
    <r>
      <rPr>
        <sz val="9"/>
        <color rgb="FF8A6D1F"/>
        <rFont val="Noto Sans CJK SC"/>
        <family val="2"/>
      </rPr>
      <t xml:space="preserve">로 볼 것인가</t>
    </r>
    <r>
      <rPr>
        <sz val="9"/>
        <color rgb="FF8A6D1F"/>
        <rFont val="맑은 고딕"/>
        <family val="0"/>
        <charset val="1"/>
      </rPr>
      <t xml:space="preserve">, </t>
    </r>
    <r>
      <rPr>
        <sz val="9"/>
        <color rgb="FF8A6D1F"/>
        <rFont val="Noto Sans CJK SC"/>
        <family val="2"/>
      </rPr>
      <t xml:space="preserve">유지 회원수</t>
    </r>
    <r>
      <rPr>
        <sz val="9"/>
        <color rgb="FF8A6D1F"/>
        <rFont val="맑은 고딕"/>
        <family val="0"/>
        <charset val="1"/>
      </rPr>
      <t xml:space="preserve">(</t>
    </r>
    <r>
      <rPr>
        <sz val="9"/>
        <color rgb="FF8A6D1F"/>
        <rFont val="Noto Sans CJK SC"/>
        <family val="2"/>
      </rPr>
      <t xml:space="preserve">명</t>
    </r>
    <r>
      <rPr>
        <sz val="9"/>
        <color rgb="FF8A6D1F"/>
        <rFont val="맑은 고딕"/>
        <family val="0"/>
        <charset val="1"/>
      </rPr>
      <t xml:space="preserve">)</t>
    </r>
    <r>
      <rPr>
        <sz val="9"/>
        <color rgb="FF8A6D1F"/>
        <rFont val="Noto Sans CJK SC"/>
        <family val="2"/>
      </rPr>
      <t xml:space="preserve">로 볼 것인가</t>
    </r>
    <r>
      <rPr>
        <sz val="9"/>
        <color rgb="FF8A6D1F"/>
        <rFont val="맑은 고딕"/>
        <family val="0"/>
        <charset val="1"/>
      </rPr>
      <t xml:space="preserve">? </t>
    </r>
    <r>
      <rPr>
        <sz val="9"/>
        <color rgb="FF8A6D1F"/>
        <rFont val="Noto Sans CJK SC"/>
        <family val="2"/>
      </rPr>
      <t xml:space="preserve">둘은 무엇이 다릅니까</t>
    </r>
    <r>
      <rPr>
        <sz val="9"/>
        <color rgb="FF8A6D1F"/>
        <rFont val="맑은 고딕"/>
        <family val="0"/>
        <charset val="1"/>
      </rPr>
      <t xml:space="preserve">?
② 그 숫자는 높을수록 좋습니까, </t>
    </r>
    <r>
      <rPr>
        <sz val="9"/>
        <color rgb="FF8A6D1F"/>
        <rFont val="Noto Sans CJK SC"/>
        <family val="2"/>
      </rPr>
      <t xml:space="preserve">낮을수록 좋습니까</t>
    </r>
    <r>
      <rPr>
        <sz val="9"/>
        <color rgb="FF8A6D1F"/>
        <rFont val="맑은 고딕"/>
        <family val="0"/>
        <charset val="1"/>
      </rPr>
      <t xml:space="preserve">?
③ 매달 숫자를 적을 때 '</t>
    </r>
    <r>
      <rPr>
        <sz val="9"/>
        <color rgb="FF8A6D1F"/>
        <rFont val="Noto Sans CJK SC"/>
        <family val="2"/>
      </rPr>
      <t xml:space="preserve">그 달에 빠져나간 사람 수</t>
    </r>
    <r>
      <rPr>
        <sz val="9"/>
        <color rgb="FF8A6D1F"/>
        <rFont val="맑은 고딕"/>
        <family val="0"/>
        <charset val="1"/>
      </rPr>
      <t xml:space="preserve">'</t>
    </r>
    <r>
      <rPr>
        <sz val="9"/>
        <color rgb="FF8A6D1F"/>
        <rFont val="Noto Sans CJK SC"/>
        <family val="2"/>
      </rPr>
      <t xml:space="preserve">를 적습니까</t>
    </r>
    <r>
      <rPr>
        <sz val="9"/>
        <color rgb="FF8A6D1F"/>
        <rFont val="맑은 고딕"/>
        <family val="0"/>
        <charset val="1"/>
      </rPr>
      <t xml:space="preserve">, '</t>
    </r>
    <r>
      <rPr>
        <sz val="9"/>
        <color rgb="FF8A6D1F"/>
        <rFont val="Noto Sans CJK SC"/>
        <family val="2"/>
      </rPr>
      <t xml:space="preserve">그 달 말 기준 남아 있는 총 인원</t>
    </r>
    <r>
      <rPr>
        <sz val="9"/>
        <color rgb="FF8A6D1F"/>
        <rFont val="맑은 고딕"/>
        <family val="0"/>
        <charset val="1"/>
      </rPr>
      <t xml:space="preserve">'</t>
    </r>
    <r>
      <rPr>
        <sz val="9"/>
        <color rgb="FF8A6D1F"/>
        <rFont val="Noto Sans CJK SC"/>
        <family val="2"/>
      </rPr>
      <t xml:space="preserve">을 적습니까</t>
    </r>
    <r>
      <rPr>
        <sz val="9"/>
        <color rgb="FF8A6D1F"/>
        <rFont val="맑은 고딕"/>
        <family val="0"/>
        <charset val="1"/>
      </rPr>
      <t xml:space="preserve">?
   (</t>
    </r>
    <r>
      <rPr>
        <sz val="9"/>
        <color rgb="FF8A6D1F"/>
        <rFont val="Noto Sans CJK SC"/>
        <family val="2"/>
      </rPr>
      <t xml:space="preserve">앞은 매달 발생분</t>
    </r>
    <r>
      <rPr>
        <sz val="9"/>
        <color rgb="FF8A6D1F"/>
        <rFont val="맑은 고딕"/>
        <family val="0"/>
        <charset val="1"/>
      </rPr>
      <t xml:space="preserve">, </t>
    </r>
    <r>
      <rPr>
        <sz val="9"/>
        <color rgb="FF8A6D1F"/>
        <rFont val="Noto Sans CJK SC"/>
        <family val="2"/>
      </rPr>
      <t xml:space="preserve">뒤는 누적된 값입니다</t>
    </r>
    <r>
      <rPr>
        <sz val="9"/>
        <color rgb="FF8A6D1F"/>
        <rFont val="맑은 고딕"/>
        <family val="0"/>
        <charset val="1"/>
      </rPr>
      <t xml:space="preserve">. </t>
    </r>
    <r>
      <rPr>
        <sz val="9"/>
        <color rgb="FF8A6D1F"/>
        <rFont val="Noto Sans CJK SC"/>
        <family val="2"/>
      </rPr>
      <t xml:space="preserve">연간 집계가 완전히 달라집니다</t>
    </r>
    <r>
      <rPr>
        <sz val="9"/>
        <color rgb="FF8A6D1F"/>
        <rFont val="맑은 고딕"/>
        <family val="0"/>
        <charset val="1"/>
      </rPr>
      <t xml:space="preserve">)
④ 그 숫자를 매달 어디서 가져옵니까? </t>
    </r>
    <r>
      <rPr>
        <sz val="9"/>
        <color rgb="FF8A6D1F"/>
        <rFont val="Noto Sans CJK SC"/>
        <family val="2"/>
      </rPr>
      <t xml:space="preserve">누가 집계합니까</t>
    </r>
    <r>
      <rPr>
        <sz val="9"/>
        <color rgb="FF8A6D1F"/>
        <rFont val="맑은 고딕"/>
        <family val="0"/>
        <charset val="1"/>
      </rPr>
      <t xml:space="preserve">? </t>
    </r>
    <r>
      <rPr>
        <sz val="9"/>
        <color rgb="FF8A6D1F"/>
        <rFont val="Noto Sans CJK SC"/>
        <family val="2"/>
      </rPr>
      <t xml:space="preserve">몇 분 걸립니까</t>
    </r>
    <r>
      <rPr>
        <sz val="9"/>
        <color rgb="FF8A6D1F"/>
        <rFont val="맑은 고딕"/>
        <family val="0"/>
        <charset val="1"/>
      </rPr>
      <t xml:space="preserve">?
   ④번에 답하지 못하는 지표는 연말에 비어 있게 됩니다.</t>
    </r>
  </si>
  <si>
    <r>
      <rPr>
        <sz val="9"/>
        <color rgb="FF1D1D1F"/>
        <rFont val="Noto Sans CJK SC"/>
        <family val="2"/>
      </rPr>
      <t xml:space="preserve">① 설정 → </t>
    </r>
    <r>
      <rPr>
        <sz val="9"/>
        <color rgb="FF1D1D1F"/>
        <rFont val="맑은 고딕"/>
        <family val="0"/>
        <charset val="1"/>
      </rPr>
      <t xml:space="preserve">'KPI </t>
    </r>
    <r>
      <rPr>
        <sz val="9"/>
        <color rgb="FF1D1D1F"/>
        <rFont val="Noto Sans CJK SC"/>
        <family val="2"/>
      </rPr>
      <t xml:space="preserve">기준정보</t>
    </r>
    <r>
      <rPr>
        <sz val="9"/>
        <color rgb="FF1D1D1F"/>
        <rFont val="맑은 고딕"/>
        <family val="0"/>
        <charset val="1"/>
      </rPr>
      <t xml:space="preserve">' → </t>
    </r>
    <r>
      <rPr>
        <sz val="9"/>
        <color rgb="FF1D1D1F"/>
        <rFont val="Noto Sans CJK SC"/>
        <family val="2"/>
      </rPr>
      <t xml:space="preserve">새 지표 등록
② 지표명 </t>
    </r>
    <r>
      <rPr>
        <sz val="9"/>
        <color rgb="FF1D1D1F"/>
        <rFont val="맑은 고딕"/>
        <family val="0"/>
        <charset val="1"/>
      </rPr>
      <t xml:space="preserve">'[</t>
    </r>
    <r>
      <rPr>
        <sz val="9"/>
        <color rgb="FF1D1D1F"/>
        <rFont val="Noto Sans CJK SC"/>
        <family val="2"/>
      </rPr>
      <t xml:space="preserve">연습</t>
    </r>
    <r>
      <rPr>
        <sz val="9"/>
        <color rgb="FF1D1D1F"/>
        <rFont val="맑은 고딕"/>
        <family val="0"/>
        <charset val="1"/>
      </rPr>
      <t xml:space="preserve">] </t>
    </r>
    <r>
      <rPr>
        <sz val="9"/>
        <color rgb="FF1D1D1F"/>
        <rFont val="Noto Sans CJK SC"/>
        <family val="2"/>
      </rPr>
      <t xml:space="preserve">정기배송 월 이탈률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로 넣고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위 ②</t>
    </r>
    <r>
      <rPr>
        <sz val="9"/>
        <color rgb="FF1D1D1F"/>
        <rFont val="맑은 고딕"/>
        <family val="0"/>
        <charset val="1"/>
      </rPr>
      <t xml:space="preserve">·③</t>
    </r>
    <r>
      <rPr>
        <sz val="9"/>
        <color rgb="FF1D1D1F"/>
        <rFont val="Noto Sans CJK SC"/>
        <family val="2"/>
      </rPr>
      <t xml:space="preserve">의 답에 따라
   · 방향</t>
    </r>
    <r>
      <rPr>
        <sz val="9"/>
        <color rgb="FF1D1D1F"/>
        <rFont val="맑은 고딕"/>
        <family val="0"/>
        <charset val="1"/>
      </rPr>
      <t xml:space="preserve">: </t>
    </r>
    <r>
      <rPr>
        <sz val="9"/>
        <color rgb="FF1D1D1F"/>
        <rFont val="Noto Sans CJK SC"/>
        <family val="2"/>
      </rPr>
      <t xml:space="preserve">낮을수록 좋음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높을수록 좋음 중에서
   · 단위</t>
    </r>
    <r>
      <rPr>
        <sz val="9"/>
        <color rgb="FF1D1D1F"/>
        <rFont val="맑은 고딕"/>
        <family val="0"/>
        <charset val="1"/>
      </rPr>
      <t xml:space="preserve">: % </t>
    </r>
    <r>
      <rPr>
        <sz val="9"/>
        <color rgb="FF1D1D1F"/>
        <rFont val="Noto Sans CJK SC"/>
        <family val="2"/>
      </rPr>
      <t xml:space="preserve">또는 명
   · 기본 주기</t>
    </r>
    <r>
      <rPr>
        <sz val="9"/>
        <color rgb="FF1D1D1F"/>
        <rFont val="맑은 고딕"/>
        <family val="0"/>
        <charset val="1"/>
      </rPr>
      <t xml:space="preserve">: </t>
    </r>
    <r>
      <rPr>
        <sz val="9"/>
        <color rgb="FF1D1D1F"/>
        <rFont val="Noto Sans CJK SC"/>
        <family val="2"/>
      </rPr>
      <t xml:space="preserve">월별
   · 집계 방식</t>
    </r>
    <r>
      <rPr>
        <sz val="9"/>
        <color rgb="FF1D1D1F"/>
        <rFont val="맑은 고딕"/>
        <family val="0"/>
        <charset val="1"/>
      </rPr>
      <t xml:space="preserve">: </t>
    </r>
    <r>
      <rPr>
        <sz val="9"/>
        <color rgb="FF1D1D1F"/>
        <rFont val="Noto Sans CJK SC"/>
        <family val="2"/>
      </rPr>
      <t xml:space="preserve">매달 발생분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누적된 값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기간 평균 중에서
   · 설명</t>
    </r>
    <r>
      <rPr>
        <sz val="9"/>
        <color rgb="FF1D1D1F"/>
        <rFont val="맑은 고딕"/>
        <family val="0"/>
        <charset val="1"/>
      </rPr>
      <t xml:space="preserve">: ④</t>
    </r>
    <r>
      <rPr>
        <sz val="9"/>
        <color rgb="FF1D1D1F"/>
        <rFont val="Noto Sans CJK SC"/>
        <family val="2"/>
      </rPr>
      <t xml:space="preserve">번 답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출처와 담당</t>
    </r>
    <r>
      <rPr>
        <sz val="9"/>
        <color rgb="FF1D1D1F"/>
        <rFont val="맑은 고딕"/>
        <family val="0"/>
        <charset val="1"/>
      </rPr>
      <t xml:space="preserve">)</t>
    </r>
    <r>
      <rPr>
        <sz val="9"/>
        <color rgb="FF1D1D1F"/>
        <rFont val="Noto Sans CJK SC"/>
        <family val="2"/>
      </rPr>
      <t xml:space="preserve">을 적어둔다
③ 같은 이름을 한 번 더 등록해본다 → 막히는지 확인
④ WK-01에서 만든 목표로 돌아가 </t>
    </r>
    <r>
      <rPr>
        <sz val="9"/>
        <color rgb="FF1D1D1F"/>
        <rFont val="맑은 고딕"/>
        <family val="0"/>
        <charset val="1"/>
      </rPr>
      <t xml:space="preserve">2</t>
    </r>
    <r>
      <rPr>
        <sz val="9"/>
        <color rgb="FF1D1D1F"/>
        <rFont val="Noto Sans CJK SC"/>
        <family val="2"/>
      </rPr>
      <t xml:space="preserve">단계에서 그 지표를 고른다
⑤ 방향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단위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주기가 자동으로 따라와 있는지 본다
⑥ 올해 목표값과 시작값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작년 수준</t>
    </r>
    <r>
      <rPr>
        <sz val="9"/>
        <color rgb="FF1D1D1F"/>
        <rFont val="맑은 고딕"/>
        <family val="0"/>
        <charset val="1"/>
      </rPr>
      <t xml:space="preserve">)</t>
    </r>
    <r>
      <rPr>
        <sz val="9"/>
        <color rgb="FF1D1D1F"/>
        <rFont val="Noto Sans CJK SC"/>
        <family val="2"/>
      </rPr>
      <t xml:space="preserve">을 넣는다
⑦ 월별로 나누기를 써서 </t>
    </r>
    <r>
      <rPr>
        <sz val="9"/>
        <color rgb="FF1D1D1F"/>
        <rFont val="맑은 고딕"/>
        <family val="0"/>
        <charset val="1"/>
      </rPr>
      <t xml:space="preserve">12</t>
    </r>
    <r>
      <rPr>
        <sz val="9"/>
        <color rgb="FF1D1D1F"/>
        <rFont val="Noto Sans CJK SC"/>
        <family val="2"/>
      </rPr>
      <t xml:space="preserve">개월에 배분한다</t>
    </r>
  </si>
  <si>
    <r>
      <rPr>
        <sz val="9"/>
        <color rgb="FFB9821F"/>
        <rFont val="Noto Sans CJK SC"/>
        <family val="2"/>
      </rPr>
      <t xml:space="preserve">기준정보에서 정한 방향</t>
    </r>
    <r>
      <rPr>
        <sz val="9"/>
        <color rgb="FFB9821F"/>
        <rFont val="맑은 고딕"/>
        <family val="0"/>
        <charset val="1"/>
      </rPr>
      <t xml:space="preserve">·</t>
    </r>
    <r>
      <rPr>
        <sz val="9"/>
        <color rgb="FFB9821F"/>
        <rFont val="Noto Sans CJK SC"/>
        <family val="2"/>
      </rPr>
      <t xml:space="preserve">단위</t>
    </r>
    <r>
      <rPr>
        <sz val="9"/>
        <color rgb="FFB9821F"/>
        <rFont val="맑은 고딕"/>
        <family val="0"/>
        <charset val="1"/>
      </rPr>
      <t xml:space="preserve">·</t>
    </r>
    <r>
      <rPr>
        <sz val="9"/>
        <color rgb="FFB9821F"/>
        <rFont val="Noto Sans CJK SC"/>
        <family val="2"/>
      </rPr>
      <t xml:space="preserve">주기가 목표 화면에 그대로 따라오는지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같은 이름을 또 등록하면 막히는지</t>
    </r>
  </si>
  <si>
    <t xml:space="preserve">WK-03</t>
  </si>
  <si>
    <r>
      <rPr>
        <b val="true"/>
        <sz val="9"/>
        <color rgb="FF1D1D1F"/>
        <rFont val="맑은 고딕"/>
        <family val="0"/>
        <charset val="1"/>
      </rPr>
      <t xml:space="preserve">3</t>
    </r>
    <r>
      <rPr>
        <b val="true"/>
        <sz val="9"/>
        <color rgb="FF1D1D1F"/>
        <rFont val="Noto Sans CJK SC"/>
        <family val="2"/>
      </rPr>
      <t xml:space="preserve">단계 </t>
    </r>
    <r>
      <rPr>
        <b val="true"/>
        <sz val="9"/>
        <color rgb="FF1D1D1F"/>
        <rFont val="맑은 고딕"/>
        <family val="0"/>
        <charset val="1"/>
      </rPr>
      <t xml:space="preserve">· </t>
    </r>
    <r>
      <rPr>
        <b val="true"/>
        <sz val="9"/>
        <color rgb="FF1D1D1F"/>
        <rFont val="Noto Sans CJK SC"/>
        <family val="2"/>
      </rPr>
      <t xml:space="preserve">내놓고 </t>
    </r>
    <r>
      <rPr>
        <b val="true"/>
        <sz val="9"/>
        <color rgb="FF1D1D1F"/>
        <rFont val="맑은 고딕"/>
        <family val="0"/>
        <charset val="1"/>
      </rPr>
      <t xml:space="preserve">· </t>
    </r>
    <r>
      <rPr>
        <b val="true"/>
        <sz val="9"/>
        <color rgb="FF1D1D1F"/>
        <rFont val="Noto Sans CJK SC"/>
        <family val="2"/>
      </rPr>
      <t xml:space="preserve">재보고 </t>
    </r>
    <r>
      <rPr>
        <b val="true"/>
        <sz val="9"/>
        <color rgb="FF1D1D1F"/>
        <rFont val="맑은 고딕"/>
        <family val="0"/>
        <charset val="1"/>
      </rPr>
      <t xml:space="preserve">· </t>
    </r>
    <r>
      <rPr>
        <b val="true"/>
        <sz val="9"/>
        <color rgb="FF1D1D1F"/>
        <rFont val="Noto Sans CJK SC"/>
        <family val="2"/>
      </rPr>
      <t xml:space="preserve">정리
</t>
    </r>
    <r>
      <rPr>
        <b val="true"/>
        <sz val="9"/>
        <color rgb="FF1D1D1F"/>
        <rFont val="맑은 고딕"/>
        <family val="0"/>
        <charset val="1"/>
      </rPr>
      <t xml:space="preserve">(</t>
    </r>
    <r>
      <rPr>
        <b val="true"/>
        <sz val="9"/>
        <color rgb="FF1D1D1F"/>
        <rFont val="Noto Sans CJK SC"/>
        <family val="2"/>
      </rPr>
      <t xml:space="preserve">약 </t>
    </r>
    <r>
      <rPr>
        <b val="true"/>
        <sz val="9"/>
        <color rgb="FF1D1D1F"/>
        <rFont val="맑은 고딕"/>
        <family val="0"/>
        <charset val="1"/>
      </rPr>
      <t xml:space="preserve">25</t>
    </r>
    <r>
      <rPr>
        <b val="true"/>
        <sz val="9"/>
        <color rgb="FF1D1D1F"/>
        <rFont val="Noto Sans CJK SC"/>
        <family val="2"/>
      </rPr>
      <t xml:space="preserve">분</t>
    </r>
    <r>
      <rPr>
        <b val="true"/>
        <sz val="9"/>
        <color rgb="FF1D1D1F"/>
        <rFont val="맑은 고딕"/>
        <family val="0"/>
        <charset val="1"/>
      </rPr>
      <t xml:space="preserve">)</t>
    </r>
  </si>
  <si>
    <r>
      <rPr>
        <b val="true"/>
        <sz val="10"/>
        <color rgb="FF1D1D1F"/>
        <rFont val="Noto Sans CJK SC"/>
        <family val="2"/>
      </rPr>
      <t xml:space="preserve">제출해서 검토자 눈으로 다시 보고</t>
    </r>
    <r>
      <rPr>
        <b val="true"/>
        <sz val="10"/>
        <color rgb="FF1D1D1F"/>
        <rFont val="맑은 고딕"/>
        <family val="0"/>
        <charset val="1"/>
      </rPr>
      <t xml:space="preserve">, </t>
    </r>
    <r>
      <rPr>
        <b val="true"/>
        <sz val="10"/>
        <color rgb="FF1D1D1F"/>
        <rFont val="Noto Sans CJK SC"/>
        <family val="2"/>
      </rPr>
      <t xml:space="preserve">실적을 한두 달 넣어 달성률이 상식과 맞는지 확인한 뒤 뒷정리한다</t>
    </r>
  </si>
  <si>
    <r>
      <rPr>
        <sz val="9"/>
        <color rgb="FF1D1D1F"/>
        <rFont val="맑은 고딕"/>
        <family val="0"/>
        <charset val="1"/>
      </rPr>
      <t xml:space="preserve">[</t>
    </r>
    <r>
      <rPr>
        <sz val="9"/>
        <color rgb="FF1D1D1F"/>
        <rFont val="Noto Sans CJK SC"/>
        <family val="2"/>
      </rPr>
      <t xml:space="preserve">연습용 상황 이어서</t>
    </r>
    <r>
      <rPr>
        <sz val="9"/>
        <color rgb="FF1D1D1F"/>
        <rFont val="맑은 고딕"/>
        <family val="0"/>
        <charset val="1"/>
      </rPr>
      <t xml:space="preserve">]
</t>
    </r>
    <r>
      <rPr>
        <sz val="9"/>
        <color rgb="FF1D1D1F"/>
        <rFont val="Noto Sans CJK SC"/>
        <family val="2"/>
      </rPr>
      <t xml:space="preserve">다 썼습니다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이제 남의 눈으로 보는 단계입니다</t>
    </r>
    <r>
      <rPr>
        <sz val="9"/>
        <color rgb="FF1D1D1F"/>
        <rFont val="맑은 고딕"/>
        <family val="0"/>
        <charset val="1"/>
      </rPr>
      <t xml:space="preserve">.
</t>
    </r>
    <r>
      <rPr>
        <sz val="9"/>
        <color rgb="FF1D1D1F"/>
        <rFont val="Noto Sans CJK SC"/>
        <family val="2"/>
      </rPr>
      <t xml:space="preserve">특히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낮을수록 좋은 지표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는 달성률이 직관과 어긋나기 쉬워서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실적을 한 번 넣어보고 확인해야 합니다</t>
    </r>
    <r>
      <rPr>
        <sz val="9"/>
        <color rgb="FF1D1D1F"/>
        <rFont val="맑은 고딕"/>
        <family val="0"/>
        <charset val="1"/>
      </rPr>
      <t xml:space="preserve">.</t>
    </r>
  </si>
  <si>
    <r>
      <rPr>
        <sz val="9"/>
        <color rgb="FF8A6D1F"/>
        <rFont val="Noto Sans CJK SC"/>
        <family val="2"/>
      </rPr>
      <t xml:space="preserve">① 내가 쓴 </t>
    </r>
    <r>
      <rPr>
        <sz val="9"/>
        <color rgb="FF8A6D1F"/>
        <rFont val="맑은 고딕"/>
        <family val="0"/>
        <charset val="1"/>
      </rPr>
      <t xml:space="preserve">A</t>
    </r>
    <r>
      <rPr>
        <sz val="9"/>
        <color rgb="FF8A6D1F"/>
        <rFont val="Noto Sans CJK SC"/>
        <family val="2"/>
      </rPr>
      <t xml:space="preserve">칸</t>
    </r>
    <r>
      <rPr>
        <sz val="9"/>
        <color rgb="FF8A6D1F"/>
        <rFont val="맑은 고딕"/>
        <family val="0"/>
        <charset val="1"/>
      </rPr>
      <t xml:space="preserve">(</t>
    </r>
    <r>
      <rPr>
        <sz val="9"/>
        <color rgb="FF8A6D1F"/>
        <rFont val="Noto Sans CJK SC"/>
        <family val="2"/>
      </rPr>
      <t xml:space="preserve">가능한 근거</t>
    </r>
    <r>
      <rPr>
        <sz val="9"/>
        <color rgb="FF8A6D1F"/>
        <rFont val="맑은 고딕"/>
        <family val="0"/>
        <charset val="1"/>
      </rPr>
      <t xml:space="preserve">)</t>
    </r>
    <r>
      <rPr>
        <sz val="9"/>
        <color rgb="FF8A6D1F"/>
        <rFont val="Noto Sans CJK SC"/>
        <family val="2"/>
      </rPr>
      <t xml:space="preserve">을 검토자가 보면 </t>
    </r>
    <r>
      <rPr>
        <sz val="9"/>
        <color rgb="FF8A6D1F"/>
        <rFont val="맑은 고딕"/>
        <family val="0"/>
        <charset val="1"/>
      </rPr>
      <t xml:space="preserve">'</t>
    </r>
    <r>
      <rPr>
        <sz val="9"/>
        <color rgb="FF8A6D1F"/>
        <rFont val="Noto Sans CJK SC"/>
        <family val="2"/>
      </rPr>
      <t xml:space="preserve">그 숫자 어디서 나왔냐</t>
    </r>
    <r>
      <rPr>
        <sz val="9"/>
        <color rgb="FF8A6D1F"/>
        <rFont val="맑은 고딕"/>
        <family val="0"/>
        <charset val="1"/>
      </rPr>
      <t xml:space="preserve">'</t>
    </r>
    <r>
      <rPr>
        <sz val="9"/>
        <color rgb="FF8A6D1F"/>
        <rFont val="Noto Sans CJK SC"/>
        <family val="2"/>
      </rPr>
      <t xml:space="preserve">고 물을 것 같습니까</t>
    </r>
    <r>
      <rPr>
        <sz val="9"/>
        <color rgb="FF8A6D1F"/>
        <rFont val="맑은 고딕"/>
        <family val="0"/>
        <charset val="1"/>
      </rPr>
      <t xml:space="preserve">?
② 목표값을 지금 수준보다 얼마나 낮게 잡았습니까? </t>
    </r>
    <r>
      <rPr>
        <sz val="9"/>
        <color rgb="FF8A6D1F"/>
        <rFont val="Noto Sans CJK SC"/>
        <family val="2"/>
      </rPr>
      <t xml:space="preserve">그 폭의 근거는 있습니까</t>
    </r>
    <r>
      <rPr>
        <sz val="9"/>
        <color rgb="FF8A6D1F"/>
        <rFont val="맑은 고딕"/>
        <family val="0"/>
        <charset val="1"/>
      </rPr>
      <t xml:space="preserve">?
③ 목표가 3%</t>
    </r>
    <r>
      <rPr>
        <sz val="9"/>
        <color rgb="FF8A6D1F"/>
        <rFont val="Noto Sans CJK SC"/>
        <family val="2"/>
      </rPr>
      <t xml:space="preserve">인데 실적이 </t>
    </r>
    <r>
      <rPr>
        <sz val="9"/>
        <color rgb="FF8A6D1F"/>
        <rFont val="맑은 고딕"/>
        <family val="0"/>
        <charset val="1"/>
      </rPr>
      <t xml:space="preserve">5%</t>
    </r>
    <r>
      <rPr>
        <sz val="9"/>
        <color rgb="FF8A6D1F"/>
        <rFont val="Noto Sans CJK SC"/>
        <family val="2"/>
      </rPr>
      <t xml:space="preserve">로 나왔다면 달성률은 몇 </t>
    </r>
    <r>
      <rPr>
        <sz val="9"/>
        <color rgb="FF8A6D1F"/>
        <rFont val="맑은 고딕"/>
        <family val="0"/>
        <charset val="1"/>
      </rPr>
      <t xml:space="preserve">%</t>
    </r>
    <r>
      <rPr>
        <sz val="9"/>
        <color rgb="FF8A6D1F"/>
        <rFont val="Noto Sans CJK SC"/>
        <family val="2"/>
      </rPr>
      <t xml:space="preserve">여야 상식에 맞습니까</t>
    </r>
    <r>
      <rPr>
        <sz val="9"/>
        <color rgb="FF8A6D1F"/>
        <rFont val="맑은 고딕"/>
        <family val="0"/>
        <charset val="1"/>
      </rPr>
      <t xml:space="preserve">?
   (100%</t>
    </r>
    <r>
      <rPr>
        <sz val="9"/>
        <color rgb="FF8A6D1F"/>
        <rFont val="Noto Sans CJK SC"/>
        <family val="2"/>
      </rPr>
      <t xml:space="preserve">보다 크게 나와야 할까요</t>
    </r>
    <r>
      <rPr>
        <sz val="9"/>
        <color rgb="FF8A6D1F"/>
        <rFont val="맑은 고딕"/>
        <family val="0"/>
        <charset val="1"/>
      </rPr>
      <t xml:space="preserve">, </t>
    </r>
    <r>
      <rPr>
        <sz val="9"/>
        <color rgb="FF8A6D1F"/>
        <rFont val="Noto Sans CJK SC"/>
        <family val="2"/>
      </rPr>
      <t xml:space="preserve">작게 나와야 할까요</t>
    </r>
    <r>
      <rPr>
        <sz val="9"/>
        <color rgb="FF8A6D1F"/>
        <rFont val="맑은 고딕"/>
        <family val="0"/>
        <charset val="1"/>
      </rPr>
      <t xml:space="preserve">)</t>
    </r>
  </si>
  <si>
    <r>
      <rPr>
        <sz val="9"/>
        <color rgb="FF1D1D1F"/>
        <rFont val="Noto Sans CJK SC"/>
        <family val="2"/>
      </rPr>
      <t xml:space="preserve">① 목표를 제출한다
② '나의 할 일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에 검토 차례로 올라오는지 본다
③ 검토 화면을 열어 내가 쓴 내용을 처음 보는 사람처럼 읽는다
④ 스스로 걸리는 점 하나를 골라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보완 요청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을 보낸다
⑤ 그 지적대로 고친 뒤 다시 제출하고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합의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한다
⑥ 실적 입력에서 </t>
    </r>
    <r>
      <rPr>
        <sz val="9"/>
        <color rgb="FF1D1D1F"/>
        <rFont val="맑은 고딕"/>
        <family val="0"/>
        <charset val="1"/>
      </rPr>
      <t xml:space="preserve">1</t>
    </r>
    <r>
      <rPr>
        <sz val="9"/>
        <color rgb="FF1D1D1F"/>
        <rFont val="Noto Sans CJK SC"/>
        <family val="2"/>
      </rPr>
      <t xml:space="preserve">월</t>
    </r>
    <r>
      <rPr>
        <sz val="9"/>
        <color rgb="FF1D1D1F"/>
        <rFont val="맑은 고딕"/>
        <family val="0"/>
        <charset val="1"/>
      </rPr>
      <t xml:space="preserve">·2</t>
    </r>
    <r>
      <rPr>
        <sz val="9"/>
        <color rgb="FF1D1D1F"/>
        <rFont val="Noto Sans CJK SC"/>
        <family val="2"/>
      </rPr>
      <t xml:space="preserve">월 실적을 넣는다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목표보다 나쁜 값 한 번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좋은 값 한 번</t>
    </r>
    <r>
      <rPr>
        <sz val="9"/>
        <color rgb="FF1D1D1F"/>
        <rFont val="맑은 고딕"/>
        <family val="0"/>
        <charset val="1"/>
      </rPr>
      <t xml:space="preserve">)
⑦ 목표 상세에서 달성률이 ③번 답과 맞는지 본다
⑧ 설정 → KPI </t>
    </r>
    <r>
      <rPr>
        <sz val="9"/>
        <color rgb="FF1D1D1F"/>
        <rFont val="Noto Sans CJK SC"/>
        <family val="2"/>
      </rPr>
      <t xml:space="preserve">기준정보에서 </t>
    </r>
    <r>
      <rPr>
        <sz val="9"/>
        <color rgb="FF1D1D1F"/>
        <rFont val="맑은 고딕"/>
        <family val="0"/>
        <charset val="1"/>
      </rPr>
      <t xml:space="preserve">'[</t>
    </r>
    <r>
      <rPr>
        <sz val="9"/>
        <color rgb="FF1D1D1F"/>
        <rFont val="Noto Sans CJK SC"/>
        <family val="2"/>
      </rPr>
      <t xml:space="preserve">연습</t>
    </r>
    <r>
      <rPr>
        <sz val="9"/>
        <color rgb="FF1D1D1F"/>
        <rFont val="맑은 고딕"/>
        <family val="0"/>
        <charset val="1"/>
      </rPr>
      <t xml:space="preserve">]' </t>
    </r>
    <r>
      <rPr>
        <sz val="9"/>
        <color rgb="FF1D1D1F"/>
        <rFont val="Noto Sans CJK SC"/>
        <family val="2"/>
      </rPr>
      <t xml:space="preserve">지표를 숨김 처리한다
⑨ 목록에서 그 지표를 쓰던 목표가 어떻게 보이는지 확인한다</t>
    </r>
  </si>
  <si>
    <r>
      <rPr>
        <sz val="9"/>
        <color rgb="FFB9821F"/>
        <rFont val="Noto Sans CJK SC"/>
        <family val="2"/>
      </rPr>
      <t xml:space="preserve">낮을수록 좋은 지표의 달성률이 상식과 맞는지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숨긴 지표가 이미 쓰고 있는 목표에서는 그대로 보이는지</t>
    </r>
  </si>
  <si>
    <r>
      <rPr>
        <b val="true"/>
        <sz val="11"/>
        <color rgb="FF1D1D1F"/>
        <rFont val="Noto Sans CJK SC"/>
        <family val="2"/>
      </rPr>
      <t xml:space="preserve">대교</t>
    </r>
    <r>
      <rPr>
        <b val="true"/>
        <sz val="11"/>
        <color rgb="FF1D1D1F"/>
        <rFont val="맑은 고딕"/>
        <family val="0"/>
        <charset val="1"/>
      </rPr>
      <t xml:space="preserve">D&amp;S · </t>
    </r>
    <r>
      <rPr>
        <b val="true"/>
        <sz val="11"/>
        <color rgb="FF1D1D1F"/>
        <rFont val="Noto Sans CJK SC"/>
        <family val="2"/>
      </rPr>
      <t xml:space="preserve">장민경 과장  —  세 건이 이어지는 한 번의 업무입니다</t>
    </r>
    <r>
      <rPr>
        <b val="true"/>
        <sz val="11"/>
        <color rgb="FF1D1D1F"/>
        <rFont val="맑은 고딕"/>
        <family val="0"/>
        <charset val="1"/>
      </rPr>
      <t xml:space="preserve">. </t>
    </r>
    <r>
      <rPr>
        <b val="true"/>
        <sz val="11"/>
        <color rgb="FF1D1D1F"/>
        <rFont val="Noto Sans CJK SC"/>
        <family val="2"/>
      </rPr>
      <t xml:space="preserve">가능하면 하루에 끝내주세요</t>
    </r>
    <r>
      <rPr>
        <b val="true"/>
        <sz val="11"/>
        <color rgb="FF1D1D1F"/>
        <rFont val="맑은 고딕"/>
        <family val="0"/>
        <charset val="1"/>
      </rPr>
      <t xml:space="preserve">.</t>
    </r>
  </si>
  <si>
    <t xml:space="preserve">WD-01</t>
  </si>
  <si>
    <r>
      <rPr>
        <sz val="9"/>
        <color rgb="FF1D1D1F"/>
        <rFont val="맑은 고딕"/>
        <family val="0"/>
        <charset val="1"/>
      </rPr>
      <t xml:space="preserve">[</t>
    </r>
    <r>
      <rPr>
        <sz val="9"/>
        <color rgb="FF1D1D1F"/>
        <rFont val="Noto Sans CJK SC"/>
        <family val="2"/>
      </rPr>
      <t xml:space="preserve">연습용 상황 — 실제 계획이 아닙니다</t>
    </r>
    <r>
      <rPr>
        <sz val="9"/>
        <color rgb="FF1D1D1F"/>
        <rFont val="맑은 고딕"/>
        <family val="0"/>
        <charset val="1"/>
      </rPr>
      <t xml:space="preserve">]
</t>
    </r>
    <r>
      <rPr>
        <sz val="9"/>
        <color rgb="FF1D1D1F"/>
        <rFont val="Noto Sans CJK SC"/>
        <family val="2"/>
      </rPr>
      <t xml:space="preserve">골프장은 </t>
    </r>
    <r>
      <rPr>
        <sz val="9"/>
        <color rgb="FF1D1D1F"/>
        <rFont val="맑은 고딕"/>
        <family val="0"/>
        <charset val="1"/>
      </rPr>
      <t xml:space="preserve">11</t>
    </r>
    <r>
      <rPr>
        <sz val="9"/>
        <color rgb="FF1D1D1F"/>
        <rFont val="Noto Sans CJK SC"/>
        <family val="2"/>
      </rPr>
      <t xml:space="preserve">월부터 </t>
    </r>
    <r>
      <rPr>
        <sz val="9"/>
        <color rgb="FF1D1D1F"/>
        <rFont val="맑은 고딕"/>
        <family val="0"/>
        <charset val="1"/>
      </rPr>
      <t xml:space="preserve">2</t>
    </r>
    <r>
      <rPr>
        <sz val="9"/>
        <color rgb="FF1D1D1F"/>
        <rFont val="Noto Sans CJK SC"/>
        <family val="2"/>
      </rPr>
      <t xml:space="preserve">월까지가 비수기입니다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코스와 인력은 그대로 두고 가는데 내장객만 줄어듭니다</t>
    </r>
    <r>
      <rPr>
        <sz val="9"/>
        <color rgb="FF1D1D1F"/>
        <rFont val="맑은 고딕"/>
        <family val="0"/>
        <charset val="1"/>
      </rPr>
      <t xml:space="preserve">.
</t>
    </r>
    <r>
      <rPr>
        <sz val="9"/>
        <color rgb="FF1D1D1F"/>
        <rFont val="Noto Sans CJK SC"/>
        <family val="2"/>
      </rPr>
      <t xml:space="preserve">고정비는 계속 나가므로 비수기 넉 달의 손익이 한 해 전체를 끌어내립니다</t>
    </r>
    <r>
      <rPr>
        <sz val="9"/>
        <color rgb="FF1D1D1F"/>
        <rFont val="맑은 고딕"/>
        <family val="0"/>
        <charset val="1"/>
      </rPr>
      <t xml:space="preserve">.
</t>
    </r>
    <r>
      <rPr>
        <sz val="9"/>
        <color rgb="FF1D1D1F"/>
        <rFont val="Noto Sans CJK SC"/>
        <family val="2"/>
      </rPr>
      <t xml:space="preserve">비수기에 사람을 더 들이는 일을 올해 과제로 삼는다고 해봅시다</t>
    </r>
    <r>
      <rPr>
        <sz val="9"/>
        <color rgb="FF1D1D1F"/>
        <rFont val="맑은 고딕"/>
        <family val="0"/>
        <charset val="1"/>
      </rPr>
      <t xml:space="preserve">.</t>
    </r>
  </si>
  <si>
    <r>
      <rPr>
        <sz val="9"/>
        <color rgb="FF8A6D1F"/>
        <rFont val="Noto Sans CJK SC"/>
        <family val="2"/>
      </rPr>
      <t xml:space="preserve">종이에 먼저 적어보세요</t>
    </r>
    <r>
      <rPr>
        <sz val="9"/>
        <color rgb="FF8A6D1F"/>
        <rFont val="맑은 고딕"/>
        <family val="0"/>
        <charset val="1"/>
      </rPr>
      <t xml:space="preserve">. </t>
    </r>
    <r>
      <rPr>
        <sz val="9"/>
        <color rgb="FF8A6D1F"/>
        <rFont val="Noto Sans CJK SC"/>
        <family val="2"/>
      </rPr>
      <t xml:space="preserve">시스템은 그다음입니다</t>
    </r>
    <r>
      <rPr>
        <sz val="9"/>
        <color rgb="FF8A6D1F"/>
        <rFont val="맑은 고딕"/>
        <family val="0"/>
        <charset val="1"/>
      </rPr>
      <t xml:space="preserve">.
① 비수기에 사람을 들이는 방법으로 뭐가 있습니까? </t>
    </r>
    <r>
      <rPr>
        <sz val="9"/>
        <color rgb="FF8A6D1F"/>
        <rFont val="Noto Sans CJK SC"/>
        <family val="2"/>
      </rPr>
      <t xml:space="preserve">가격을 깎습니까</t>
    </r>
    <r>
      <rPr>
        <sz val="9"/>
        <color rgb="FF8A6D1F"/>
        <rFont val="맑은 고딕"/>
        <family val="0"/>
        <charset val="1"/>
      </rPr>
      <t xml:space="preserve">, </t>
    </r>
    <r>
      <rPr>
        <sz val="9"/>
        <color rgb="FF8A6D1F"/>
        <rFont val="Noto Sans CJK SC"/>
        <family val="2"/>
      </rPr>
      <t xml:space="preserve">다른 걸 끼워 팝니까</t>
    </r>
    <r>
      <rPr>
        <sz val="9"/>
        <color rgb="FF8A6D1F"/>
        <rFont val="맑은 고딕"/>
        <family val="0"/>
        <charset val="1"/>
      </rPr>
      <t xml:space="preserve">, </t>
    </r>
    <r>
      <rPr>
        <sz val="9"/>
        <color rgb="FF8A6D1F"/>
        <rFont val="Noto Sans CJK SC"/>
        <family val="2"/>
      </rPr>
      <t xml:space="preserve">다른 손님을 부릅니까</t>
    </r>
    <r>
      <rPr>
        <sz val="9"/>
        <color rgb="FF8A6D1F"/>
        <rFont val="맑은 고딕"/>
        <family val="0"/>
        <charset val="1"/>
      </rPr>
      <t xml:space="preserve">?
② 그중 올해 할 수 있는 건 뭡니까? </t>
    </r>
    <r>
      <rPr>
        <sz val="9"/>
        <color rgb="FF8A6D1F"/>
        <rFont val="Noto Sans CJK SC"/>
        <family val="2"/>
      </rPr>
      <t xml:space="preserve">못 하는 건 왜 못 합니까</t>
    </r>
    <r>
      <rPr>
        <sz val="9"/>
        <color rgb="FF8A6D1F"/>
        <rFont val="맑은 고딕"/>
        <family val="0"/>
        <charset val="1"/>
      </rPr>
      <t xml:space="preserve">?
③ 가격을 깎아서 사람을 채우면 매출은 늘어도 이익은 줄 수 있습니다. </t>
    </r>
    <r>
      <rPr>
        <sz val="9"/>
        <color rgb="FF8A6D1F"/>
        <rFont val="Noto Sans CJK SC"/>
        <family val="2"/>
      </rPr>
      <t xml:space="preserve">이 목표가 성공했다는 건 무엇으로 판단합니까</t>
    </r>
    <r>
      <rPr>
        <sz val="9"/>
        <color rgb="FF8A6D1F"/>
        <rFont val="맑은 고딕"/>
        <family val="0"/>
        <charset val="1"/>
      </rPr>
      <t xml:space="preserve">?
④ 그 일을 안 하면 연말에 무슨 일이 벌어집니까?</t>
    </r>
  </si>
  <si>
    <r>
      <rPr>
        <sz val="9"/>
        <color rgb="FF1D1D1F"/>
        <rFont val="Noto Sans CJK SC"/>
        <family val="2"/>
      </rPr>
      <t xml:space="preserve">① 사업계획 →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새 목표 작성</t>
    </r>
    <r>
      <rPr>
        <sz val="9"/>
        <color rgb="FF1D1D1F"/>
        <rFont val="맑은 고딕"/>
        <family val="0"/>
        <charset val="1"/>
      </rPr>
      <t xml:space="preserve">'
② 1</t>
    </r>
    <r>
      <rPr>
        <sz val="9"/>
        <color rgb="FF1D1D1F"/>
        <rFont val="Noto Sans CJK SC"/>
        <family val="2"/>
      </rPr>
      <t xml:space="preserve">단계</t>
    </r>
    <r>
      <rPr>
        <sz val="9"/>
        <color rgb="FF1D1D1F"/>
        <rFont val="맑은 고딕"/>
        <family val="0"/>
        <charset val="1"/>
      </rPr>
      <t xml:space="preserve">: </t>
    </r>
    <r>
      <rPr>
        <sz val="9"/>
        <color rgb="FF1D1D1F"/>
        <rFont val="Noto Sans CJK SC"/>
        <family val="2"/>
      </rPr>
      <t xml:space="preserve">사업부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골프장</t>
    </r>
    <r>
      <rPr>
        <sz val="9"/>
        <color rgb="FF1D1D1F"/>
        <rFont val="맑은 고딕"/>
        <family val="0"/>
        <charset val="1"/>
      </rPr>
      <t xml:space="preserve">', </t>
    </r>
    <r>
      <rPr>
        <sz val="9"/>
        <color rgb="FF1D1D1F"/>
        <rFont val="Noto Sans CJK SC"/>
        <family val="2"/>
      </rPr>
      <t xml:space="preserve">전략 이름에 위 ①</t>
    </r>
    <r>
      <rPr>
        <sz val="9"/>
        <color rgb="FF1D1D1F"/>
        <rFont val="맑은 고딕"/>
        <family val="0"/>
        <charset val="1"/>
      </rPr>
      <t xml:space="preserve">~③</t>
    </r>
    <r>
      <rPr>
        <sz val="9"/>
        <color rgb="FF1D1D1F"/>
        <rFont val="Noto Sans CJK SC"/>
        <family val="2"/>
      </rPr>
      <t xml:space="preserve">의 답을 </t>
    </r>
    <r>
      <rPr>
        <sz val="9"/>
        <color rgb="FF1D1D1F"/>
        <rFont val="맑은 고딕"/>
        <family val="0"/>
        <charset val="1"/>
      </rPr>
      <t xml:space="preserve">15~25</t>
    </r>
    <r>
      <rPr>
        <sz val="9"/>
        <color rgb="FF1D1D1F"/>
        <rFont val="Noto Sans CJK SC"/>
        <family val="2"/>
      </rPr>
      <t xml:space="preserve">자로 압축해 적는다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앞에 </t>
    </r>
    <r>
      <rPr>
        <sz val="9"/>
        <color rgb="FF1D1D1F"/>
        <rFont val="맑은 고딕"/>
        <family val="0"/>
        <charset val="1"/>
      </rPr>
      <t xml:space="preserve">[</t>
    </r>
    <r>
      <rPr>
        <sz val="9"/>
        <color rgb="FF1D1D1F"/>
        <rFont val="Noto Sans CJK SC"/>
        <family val="2"/>
      </rPr>
      <t xml:space="preserve">연습</t>
    </r>
    <r>
      <rPr>
        <sz val="9"/>
        <color rgb="FF1D1D1F"/>
        <rFont val="맑은 고딕"/>
        <family val="0"/>
        <charset val="1"/>
      </rPr>
      <t xml:space="preserve">] </t>
    </r>
    <r>
      <rPr>
        <sz val="9"/>
        <color rgb="FF1D1D1F"/>
        <rFont val="Noto Sans CJK SC"/>
        <family val="2"/>
      </rPr>
      <t xml:space="preserve">을 붙인다
③ 2단계는 일단 건너뛰고 </t>
    </r>
    <r>
      <rPr>
        <sz val="9"/>
        <color rgb="FF1D1D1F"/>
        <rFont val="맑은 고딕"/>
        <family val="0"/>
        <charset val="1"/>
      </rPr>
      <t xml:space="preserve">3</t>
    </r>
    <r>
      <rPr>
        <sz val="9"/>
        <color rgb="FF1D1D1F"/>
        <rFont val="Noto Sans CJK SC"/>
        <family val="2"/>
      </rPr>
      <t xml:space="preserve">단계로 간다
④ 3단계에서 </t>
    </r>
    <r>
      <rPr>
        <sz val="9"/>
        <color rgb="FF1D1D1F"/>
        <rFont val="맑은 고딕"/>
        <family val="0"/>
        <charset val="1"/>
      </rPr>
      <t xml:space="preserve">SMART </t>
    </r>
    <r>
      <rPr>
        <sz val="9"/>
        <color rgb="FF1D1D1F"/>
        <rFont val="Noto Sans CJK SC"/>
        <family val="2"/>
      </rPr>
      <t xml:space="preserve">다섯 칸을 채운다
   · S 무엇을 할지 </t>
    </r>
    <r>
      <rPr>
        <sz val="9"/>
        <color rgb="FF1D1D1F"/>
        <rFont val="맑은 고딕"/>
        <family val="0"/>
        <charset val="1"/>
      </rPr>
      <t xml:space="preserve">= ②</t>
    </r>
    <r>
      <rPr>
        <sz val="9"/>
        <color rgb="FF1D1D1F"/>
        <rFont val="Noto Sans CJK SC"/>
        <family val="2"/>
      </rPr>
      <t xml:space="preserve">번 답
   · M 어떻게 잴지 </t>
    </r>
    <r>
      <rPr>
        <sz val="9"/>
        <color rgb="FF1D1D1F"/>
        <rFont val="맑은 고딕"/>
        <family val="0"/>
        <charset val="1"/>
      </rPr>
      <t xml:space="preserve">= </t>
    </r>
    <r>
      <rPr>
        <sz val="9"/>
        <color rgb="FF1D1D1F"/>
        <rFont val="Noto Sans CJK SC"/>
        <family val="2"/>
      </rPr>
      <t xml:space="preserve">아직 모르면 비워둔다 </t>
    </r>
    <r>
      <rPr>
        <sz val="9"/>
        <color rgb="FF1D1D1F"/>
        <rFont val="맑은 고딕"/>
        <family val="0"/>
        <charset val="1"/>
      </rPr>
      <t xml:space="preserve">(WD-02</t>
    </r>
    <r>
      <rPr>
        <sz val="9"/>
        <color rgb="FF1D1D1F"/>
        <rFont val="Noto Sans CJK SC"/>
        <family val="2"/>
      </rPr>
      <t xml:space="preserve">에서 정합니다</t>
    </r>
    <r>
      <rPr>
        <sz val="9"/>
        <color rgb="FF1D1D1F"/>
        <rFont val="맑은 고딕"/>
        <family val="0"/>
        <charset val="1"/>
      </rPr>
      <t xml:space="preserve">)
   · A </t>
    </r>
    <r>
      <rPr>
        <sz val="9"/>
        <color rgb="FF1D1D1F"/>
        <rFont val="Noto Sans CJK SC"/>
        <family val="2"/>
      </rPr>
      <t xml:space="preserve">가능한 근거 </t>
    </r>
    <r>
      <rPr>
        <sz val="9"/>
        <color rgb="FF1D1D1F"/>
        <rFont val="맑은 고딕"/>
        <family val="0"/>
        <charset val="1"/>
      </rPr>
      <t xml:space="preserve">= </t>
    </r>
    <r>
      <rPr>
        <sz val="9"/>
        <color rgb="FF1D1D1F"/>
        <rFont val="Noto Sans CJK SC"/>
        <family val="2"/>
      </rPr>
      <t xml:space="preserve">작년 비수기 실적이나 이미 가진 고객 데이터로
   · R 왜 중요한지 </t>
    </r>
    <r>
      <rPr>
        <sz val="9"/>
        <color rgb="FF1D1D1F"/>
        <rFont val="맑은 고딕"/>
        <family val="0"/>
        <charset val="1"/>
      </rPr>
      <t xml:space="preserve">= ④</t>
    </r>
    <r>
      <rPr>
        <sz val="9"/>
        <color rgb="FF1D1D1F"/>
        <rFont val="Noto Sans CJK SC"/>
        <family val="2"/>
      </rPr>
      <t xml:space="preserve">번 답
   · T 언제까지 </t>
    </r>
    <r>
      <rPr>
        <sz val="9"/>
        <color rgb="FF1D1D1F"/>
        <rFont val="맑은 고딕"/>
        <family val="0"/>
        <charset val="1"/>
      </rPr>
      <t xml:space="preserve">= </t>
    </r>
    <r>
      <rPr>
        <sz val="9"/>
        <color rgb="FF1D1D1F"/>
        <rFont val="Noto Sans CJK SC"/>
        <family val="2"/>
      </rPr>
      <t xml:space="preserve">비수기가 </t>
    </r>
    <r>
      <rPr>
        <sz val="9"/>
        <color rgb="FF1D1D1F"/>
        <rFont val="맑은 고딕"/>
        <family val="0"/>
        <charset val="1"/>
      </rPr>
      <t xml:space="preserve">11</t>
    </r>
    <r>
      <rPr>
        <sz val="9"/>
        <color rgb="FF1D1D1F"/>
        <rFont val="Noto Sans CJK SC"/>
        <family val="2"/>
      </rPr>
      <t xml:space="preserve">월에 시작하므로 준비 시점을 포함해서
⑤ 저장하고 목록으로 나간다</t>
    </r>
  </si>
  <si>
    <t xml:space="preserve">WD-02</t>
  </si>
  <si>
    <r>
      <rPr>
        <b val="true"/>
        <sz val="9"/>
        <color rgb="FF1D1D1F"/>
        <rFont val="맑은 고딕"/>
        <family val="0"/>
        <charset val="1"/>
      </rPr>
      <t xml:space="preserve">2</t>
    </r>
    <r>
      <rPr>
        <b val="true"/>
        <sz val="9"/>
        <color rgb="FF1D1D1F"/>
        <rFont val="Noto Sans CJK SC"/>
        <family val="2"/>
      </rPr>
      <t xml:space="preserve">단계 </t>
    </r>
    <r>
      <rPr>
        <b val="true"/>
        <sz val="9"/>
        <color rgb="FF1D1D1F"/>
        <rFont val="맑은 고딕"/>
        <family val="0"/>
        <charset val="1"/>
      </rPr>
      <t xml:space="preserve">· </t>
    </r>
    <r>
      <rPr>
        <b val="true"/>
        <sz val="9"/>
        <color rgb="FF1D1D1F"/>
        <rFont val="Noto Sans CJK SC"/>
        <family val="2"/>
      </rPr>
      <t xml:space="preserve">무엇으로 잴지 정하기
</t>
    </r>
    <r>
      <rPr>
        <b val="true"/>
        <sz val="9"/>
        <color rgb="FF1D1D1F"/>
        <rFont val="맑은 고딕"/>
        <family val="0"/>
        <charset val="1"/>
      </rPr>
      <t xml:space="preserve">(</t>
    </r>
    <r>
      <rPr>
        <b val="true"/>
        <sz val="9"/>
        <color rgb="FF1D1D1F"/>
        <rFont val="Noto Sans CJK SC"/>
        <family val="2"/>
      </rPr>
      <t xml:space="preserve">약 </t>
    </r>
    <r>
      <rPr>
        <b val="true"/>
        <sz val="9"/>
        <color rgb="FF1D1D1F"/>
        <rFont val="맑은 고딕"/>
        <family val="0"/>
        <charset val="1"/>
      </rPr>
      <t xml:space="preserve">35</t>
    </r>
    <r>
      <rPr>
        <b val="true"/>
        <sz val="9"/>
        <color rgb="FF1D1D1F"/>
        <rFont val="Noto Sans CJK SC"/>
        <family val="2"/>
      </rPr>
      <t xml:space="preserve">분</t>
    </r>
    <r>
      <rPr>
        <b val="true"/>
        <sz val="9"/>
        <color rgb="FF1D1D1F"/>
        <rFont val="맑은 고딕"/>
        <family val="0"/>
        <charset val="1"/>
      </rPr>
      <t xml:space="preserve">)</t>
    </r>
  </si>
  <si>
    <t xml:space="preserve">숫자로 재는 지표와 완료 여부로 재는 지표를 각각 만들어 한 목표에 두 개를 붙인다</t>
  </si>
  <si>
    <r>
      <rPr>
        <sz val="9"/>
        <color rgb="FF1D1D1F"/>
        <rFont val="맑은 고딕"/>
        <family val="0"/>
        <charset val="1"/>
      </rPr>
      <t xml:space="preserve">[</t>
    </r>
    <r>
      <rPr>
        <sz val="9"/>
        <color rgb="FF1D1D1F"/>
        <rFont val="Noto Sans CJK SC"/>
        <family val="2"/>
      </rPr>
      <t xml:space="preserve">연습용 상황 이어서</t>
    </r>
    <r>
      <rPr>
        <sz val="9"/>
        <color rgb="FF1D1D1F"/>
        <rFont val="맑은 고딕"/>
        <family val="0"/>
        <charset val="1"/>
      </rPr>
      <t xml:space="preserve">]
</t>
    </r>
    <r>
      <rPr>
        <sz val="9"/>
        <color rgb="FF1D1D1F"/>
        <rFont val="Noto Sans CJK SC"/>
        <family val="2"/>
      </rPr>
      <t xml:space="preserve">비수기 과제는 두 가지 성격이 섞여 있습니다</t>
    </r>
    <r>
      <rPr>
        <sz val="9"/>
        <color rgb="FF1D1D1F"/>
        <rFont val="맑은 고딕"/>
        <family val="0"/>
        <charset val="1"/>
      </rPr>
      <t xml:space="preserve">.
</t>
    </r>
    <r>
      <rPr>
        <sz val="9"/>
        <color rgb="FF1D1D1F"/>
        <rFont val="Noto Sans CJK SC"/>
        <family val="2"/>
      </rPr>
      <t xml:space="preserve">하나는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사람이 얼마나 왔나</t>
    </r>
    <r>
      <rPr>
        <sz val="9"/>
        <color rgb="FF1D1D1F"/>
        <rFont val="맑은 고딕"/>
        <family val="0"/>
        <charset val="1"/>
      </rPr>
      <t xml:space="preserve">' — </t>
    </r>
    <r>
      <rPr>
        <sz val="9"/>
        <color rgb="FF1D1D1F"/>
        <rFont val="Noto Sans CJK SC"/>
        <family val="2"/>
      </rPr>
      <t xml:space="preserve">숫자로 떨어집니다</t>
    </r>
    <r>
      <rPr>
        <sz val="9"/>
        <color rgb="FF1D1D1F"/>
        <rFont val="맑은 고딕"/>
        <family val="0"/>
        <charset val="1"/>
      </rPr>
      <t xml:space="preserve">.
</t>
    </r>
    <r>
      <rPr>
        <sz val="9"/>
        <color rgb="FF1D1D1F"/>
        <rFont val="Noto Sans CJK SC"/>
        <family val="2"/>
      </rPr>
      <t xml:space="preserve">다른 하나는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비수기 상품을 만들었나</t>
    </r>
    <r>
      <rPr>
        <sz val="9"/>
        <color rgb="FF1D1D1F"/>
        <rFont val="맑은 고딕"/>
        <family val="0"/>
        <charset val="1"/>
      </rPr>
      <t xml:space="preserve">' — </t>
    </r>
    <r>
      <rPr>
        <sz val="9"/>
        <color rgb="FF1D1D1F"/>
        <rFont val="Noto Sans CJK SC"/>
        <family val="2"/>
      </rPr>
      <t xml:space="preserve">숫자가 아니라 했느냐 안 했느냐입니다</t>
    </r>
    <r>
      <rPr>
        <sz val="9"/>
        <color rgb="FF1D1D1F"/>
        <rFont val="맑은 고딕"/>
        <family val="0"/>
        <charset val="1"/>
      </rPr>
      <t xml:space="preserve">.
</t>
    </r>
    <r>
      <rPr>
        <sz val="9"/>
        <color rgb="FF1D1D1F"/>
        <rFont val="Noto Sans CJK SC"/>
        <family val="2"/>
      </rPr>
      <t xml:space="preserve">이 시스템은 두 가지를 다르게 다룹니다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둘 다 만들어 봅니다</t>
    </r>
    <r>
      <rPr>
        <sz val="9"/>
        <color rgb="FF1D1D1F"/>
        <rFont val="맑은 고딕"/>
        <family val="0"/>
        <charset val="1"/>
      </rPr>
      <t xml:space="preserve">.</t>
    </r>
  </si>
  <si>
    <r>
      <rPr>
        <sz val="9"/>
        <color rgb="FF8A6D1F"/>
        <rFont val="Noto Sans CJK SC"/>
        <family val="2"/>
      </rPr>
      <t xml:space="preserve">역시 종이에 먼저</t>
    </r>
    <r>
      <rPr>
        <sz val="9"/>
        <color rgb="FF8A6D1F"/>
        <rFont val="맑은 고딕"/>
        <family val="0"/>
        <charset val="1"/>
      </rPr>
      <t xml:space="preserve">.
① 사람이 얼마나 왔는지는 내장객 수(</t>
    </r>
    <r>
      <rPr>
        <sz val="9"/>
        <color rgb="FF8A6D1F"/>
        <rFont val="Noto Sans CJK SC"/>
        <family val="2"/>
      </rPr>
      <t xml:space="preserve">명</t>
    </r>
    <r>
      <rPr>
        <sz val="9"/>
        <color rgb="FF8A6D1F"/>
        <rFont val="맑은 고딕"/>
        <family val="0"/>
        <charset val="1"/>
      </rPr>
      <t xml:space="preserve">)</t>
    </r>
    <r>
      <rPr>
        <sz val="9"/>
        <color rgb="FF8A6D1F"/>
        <rFont val="Noto Sans CJK SC"/>
        <family val="2"/>
      </rPr>
      <t xml:space="preserve">로 봅니까</t>
    </r>
    <r>
      <rPr>
        <sz val="9"/>
        <color rgb="FF8A6D1F"/>
        <rFont val="맑은 고딕"/>
        <family val="0"/>
        <charset val="1"/>
      </rPr>
      <t xml:space="preserve">, </t>
    </r>
    <r>
      <rPr>
        <sz val="9"/>
        <color rgb="FF8A6D1F"/>
        <rFont val="Noto Sans CJK SC"/>
        <family val="2"/>
      </rPr>
      <t xml:space="preserve">가동률</t>
    </r>
    <r>
      <rPr>
        <sz val="9"/>
        <color rgb="FF8A6D1F"/>
        <rFont val="맑은 고딕"/>
        <family val="0"/>
        <charset val="1"/>
      </rPr>
      <t xml:space="preserve">(%)</t>
    </r>
    <r>
      <rPr>
        <sz val="9"/>
        <color rgb="FF8A6D1F"/>
        <rFont val="Noto Sans CJK SC"/>
        <family val="2"/>
      </rPr>
      <t xml:space="preserve">로 봅니까</t>
    </r>
    <r>
      <rPr>
        <sz val="9"/>
        <color rgb="FF8A6D1F"/>
        <rFont val="맑은 고딕"/>
        <family val="0"/>
        <charset val="1"/>
      </rPr>
      <t xml:space="preserve">? </t>
    </r>
    <r>
      <rPr>
        <sz val="9"/>
        <color rgb="FF8A6D1F"/>
        <rFont val="Noto Sans CJK SC"/>
        <family val="2"/>
      </rPr>
      <t xml:space="preserve">둘은 무엇이 다릅니까</t>
    </r>
    <r>
      <rPr>
        <sz val="9"/>
        <color rgb="FF8A6D1F"/>
        <rFont val="맑은 고딕"/>
        <family val="0"/>
        <charset val="1"/>
      </rPr>
      <t xml:space="preserve">?
② 그 숫자를 매달 적습니까, </t>
    </r>
    <r>
      <rPr>
        <sz val="9"/>
        <color rgb="FF8A6D1F"/>
        <rFont val="Noto Sans CJK SC"/>
        <family val="2"/>
      </rPr>
      <t xml:space="preserve">분기에 한 번 적습니까</t>
    </r>
    <r>
      <rPr>
        <sz val="9"/>
        <color rgb="FF8A6D1F"/>
        <rFont val="맑은 고딕"/>
        <family val="0"/>
        <charset val="1"/>
      </rPr>
      <t xml:space="preserve">? </t>
    </r>
    <r>
      <rPr>
        <sz val="9"/>
        <color rgb="FF8A6D1F"/>
        <rFont val="Noto Sans CJK SC"/>
        <family val="2"/>
      </rPr>
      <t xml:space="preserve">비수기가 넉 달인데 월별이 맞습니까</t>
    </r>
    <r>
      <rPr>
        <sz val="9"/>
        <color rgb="FF8A6D1F"/>
        <rFont val="맑은 고딕"/>
        <family val="0"/>
        <charset val="1"/>
      </rPr>
      <t xml:space="preserve">?
③ 매달 적을 때 '</t>
    </r>
    <r>
      <rPr>
        <sz val="9"/>
        <color rgb="FF8A6D1F"/>
        <rFont val="Noto Sans CJK SC"/>
        <family val="2"/>
      </rPr>
      <t xml:space="preserve">그 달에 온 사람 수</t>
    </r>
    <r>
      <rPr>
        <sz val="9"/>
        <color rgb="FF8A6D1F"/>
        <rFont val="맑은 고딕"/>
        <family val="0"/>
        <charset val="1"/>
      </rPr>
      <t xml:space="preserve">'</t>
    </r>
    <r>
      <rPr>
        <sz val="9"/>
        <color rgb="FF8A6D1F"/>
        <rFont val="Noto Sans CJK SC"/>
        <family val="2"/>
      </rPr>
      <t xml:space="preserve">를 적습니까</t>
    </r>
    <r>
      <rPr>
        <sz val="9"/>
        <color rgb="FF8A6D1F"/>
        <rFont val="맑은 고딕"/>
        <family val="0"/>
        <charset val="1"/>
      </rPr>
      <t xml:space="preserve">, '</t>
    </r>
    <r>
      <rPr>
        <sz val="9"/>
        <color rgb="FF8A6D1F"/>
        <rFont val="Noto Sans CJK SC"/>
        <family val="2"/>
      </rPr>
      <t xml:space="preserve">누적 인원</t>
    </r>
    <r>
      <rPr>
        <sz val="9"/>
        <color rgb="FF8A6D1F"/>
        <rFont val="맑은 고딕"/>
        <family val="0"/>
        <charset val="1"/>
      </rPr>
      <t xml:space="preserve">'</t>
    </r>
    <r>
      <rPr>
        <sz val="9"/>
        <color rgb="FF8A6D1F"/>
        <rFont val="Noto Sans CJK SC"/>
        <family val="2"/>
      </rPr>
      <t xml:space="preserve">을 적습니까</t>
    </r>
    <r>
      <rPr>
        <sz val="9"/>
        <color rgb="FF8A6D1F"/>
        <rFont val="맑은 고딕"/>
        <family val="0"/>
        <charset val="1"/>
      </rPr>
      <t xml:space="preserve">?
④ '</t>
    </r>
    <r>
      <rPr>
        <sz val="9"/>
        <color rgb="FF8A6D1F"/>
        <rFont val="Noto Sans CJK SC"/>
        <family val="2"/>
      </rPr>
      <t xml:space="preserve">비수기 상품 개발</t>
    </r>
    <r>
      <rPr>
        <sz val="9"/>
        <color rgb="FF8A6D1F"/>
        <rFont val="맑은 고딕"/>
        <family val="0"/>
        <charset val="1"/>
      </rPr>
      <t xml:space="preserve">'</t>
    </r>
    <r>
      <rPr>
        <sz val="9"/>
        <color rgb="FF8A6D1F"/>
        <rFont val="Noto Sans CJK SC"/>
        <family val="2"/>
      </rPr>
      <t xml:space="preserve">은 몇 </t>
    </r>
    <r>
      <rPr>
        <sz val="9"/>
        <color rgb="FF8A6D1F"/>
        <rFont val="맑은 고딕"/>
        <family val="0"/>
        <charset val="1"/>
      </rPr>
      <t xml:space="preserve">%</t>
    </r>
    <r>
      <rPr>
        <sz val="9"/>
        <color rgb="FF8A6D1F"/>
        <rFont val="Noto Sans CJK SC"/>
        <family val="2"/>
      </rPr>
      <t xml:space="preserve">까지 됐다고 적을 수 있는 일입니까</t>
    </r>
    <r>
      <rPr>
        <sz val="9"/>
        <color rgb="FF8A6D1F"/>
        <rFont val="맑은 고딕"/>
        <family val="0"/>
        <charset val="1"/>
      </rPr>
      <t xml:space="preserve">, </t>
    </r>
    <r>
      <rPr>
        <sz val="9"/>
        <color rgb="FF8A6D1F"/>
        <rFont val="Noto Sans CJK SC"/>
        <family val="2"/>
      </rPr>
      <t xml:space="preserve">아니면 했다</t>
    </r>
    <r>
      <rPr>
        <sz val="9"/>
        <color rgb="FF8A6D1F"/>
        <rFont val="맑은 고딕"/>
        <family val="0"/>
        <charset val="1"/>
      </rPr>
      <t xml:space="preserve">/</t>
    </r>
    <r>
      <rPr>
        <sz val="9"/>
        <color rgb="FF8A6D1F"/>
        <rFont val="Noto Sans CJK SC"/>
        <family val="2"/>
      </rPr>
      <t xml:space="preserve">안 했다로만 말할 수 있는 일입니까</t>
    </r>
    <r>
      <rPr>
        <sz val="9"/>
        <color rgb="FF8A6D1F"/>
        <rFont val="맑은 고딕"/>
        <family val="0"/>
        <charset val="1"/>
      </rPr>
      <t xml:space="preserve">?
⑤ 두 지표 중 하나만 달성하고 하나는 못 했다면, </t>
    </r>
    <r>
      <rPr>
        <sz val="9"/>
        <color rgb="FF8A6D1F"/>
        <rFont val="Noto Sans CJK SC"/>
        <family val="2"/>
      </rPr>
      <t xml:space="preserve">이 목표는 성공입니까</t>
    </r>
    <r>
      <rPr>
        <sz val="9"/>
        <color rgb="FF8A6D1F"/>
        <rFont val="맑은 고딕"/>
        <family val="0"/>
        <charset val="1"/>
      </rPr>
      <t xml:space="preserve">?</t>
    </r>
  </si>
  <si>
    <r>
      <rPr>
        <sz val="9"/>
        <color rgb="FF1D1D1F"/>
        <rFont val="Noto Sans CJK SC"/>
        <family val="2"/>
      </rPr>
      <t xml:space="preserve">① 설정 → </t>
    </r>
    <r>
      <rPr>
        <sz val="9"/>
        <color rgb="FF1D1D1F"/>
        <rFont val="맑은 고딕"/>
        <family val="0"/>
        <charset val="1"/>
      </rPr>
      <t xml:space="preserve">'KPI </t>
    </r>
    <r>
      <rPr>
        <sz val="9"/>
        <color rgb="FF1D1D1F"/>
        <rFont val="Noto Sans CJK SC"/>
        <family val="2"/>
      </rPr>
      <t xml:space="preserve">기준정보</t>
    </r>
    <r>
      <rPr>
        <sz val="9"/>
        <color rgb="FF1D1D1F"/>
        <rFont val="맑은 고딕"/>
        <family val="0"/>
        <charset val="1"/>
      </rPr>
      <t xml:space="preserve">' → </t>
    </r>
    <r>
      <rPr>
        <sz val="9"/>
        <color rgb="FF1D1D1F"/>
        <rFont val="Noto Sans CJK SC"/>
        <family val="2"/>
      </rPr>
      <t xml:space="preserve">새 지표 두 개 등록
   가</t>
    </r>
    <r>
      <rPr>
        <sz val="9"/>
        <color rgb="FF1D1D1F"/>
        <rFont val="맑은 고딕"/>
        <family val="0"/>
        <charset val="1"/>
      </rPr>
      <t xml:space="preserve">. '[</t>
    </r>
    <r>
      <rPr>
        <sz val="9"/>
        <color rgb="FF1D1D1F"/>
        <rFont val="Noto Sans CJK SC"/>
        <family val="2"/>
      </rPr>
      <t xml:space="preserve">연습</t>
    </r>
    <r>
      <rPr>
        <sz val="9"/>
        <color rgb="FF1D1D1F"/>
        <rFont val="맑은 고딕"/>
        <family val="0"/>
        <charset val="1"/>
      </rPr>
      <t xml:space="preserve">] </t>
    </r>
    <r>
      <rPr>
        <sz val="9"/>
        <color rgb="FF1D1D1F"/>
        <rFont val="Noto Sans CJK SC"/>
        <family val="2"/>
      </rPr>
      <t xml:space="preserve">비수기 내장객 수</t>
    </r>
    <r>
      <rPr>
        <sz val="9"/>
        <color rgb="FF1D1D1F"/>
        <rFont val="맑은 고딕"/>
        <family val="0"/>
        <charset val="1"/>
      </rPr>
      <t xml:space="preserve">' — </t>
    </r>
    <r>
      <rPr>
        <sz val="9"/>
        <color rgb="FF1D1D1F"/>
        <rFont val="Noto Sans CJK SC"/>
        <family val="2"/>
      </rPr>
      <t xml:space="preserve">방향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단위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주기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집계 방식을 위 ①</t>
    </r>
    <r>
      <rPr>
        <sz val="9"/>
        <color rgb="FF1D1D1F"/>
        <rFont val="맑은 고딕"/>
        <family val="0"/>
        <charset val="1"/>
      </rPr>
      <t xml:space="preserve">~③ </t>
    </r>
    <r>
      <rPr>
        <sz val="9"/>
        <color rgb="FF1D1D1F"/>
        <rFont val="Noto Sans CJK SC"/>
        <family val="2"/>
      </rPr>
      <t xml:space="preserve">답대로
   나</t>
    </r>
    <r>
      <rPr>
        <sz val="9"/>
        <color rgb="FF1D1D1F"/>
        <rFont val="맑은 고딕"/>
        <family val="0"/>
        <charset val="1"/>
      </rPr>
      <t xml:space="preserve">. '[</t>
    </r>
    <r>
      <rPr>
        <sz val="9"/>
        <color rgb="FF1D1D1F"/>
        <rFont val="Noto Sans CJK SC"/>
        <family val="2"/>
      </rPr>
      <t xml:space="preserve">연습</t>
    </r>
    <r>
      <rPr>
        <sz val="9"/>
        <color rgb="FF1D1D1F"/>
        <rFont val="맑은 고딕"/>
        <family val="0"/>
        <charset val="1"/>
      </rPr>
      <t xml:space="preserve">] </t>
    </r>
    <r>
      <rPr>
        <sz val="9"/>
        <color rgb="FF1D1D1F"/>
        <rFont val="Noto Sans CJK SC"/>
        <family val="2"/>
      </rPr>
      <t xml:space="preserve">비수기 상품 출시</t>
    </r>
    <r>
      <rPr>
        <sz val="9"/>
        <color rgb="FF1D1D1F"/>
        <rFont val="맑은 고딕"/>
        <family val="0"/>
        <charset val="1"/>
      </rPr>
      <t xml:space="preserve">' — ④</t>
    </r>
    <r>
      <rPr>
        <sz val="9"/>
        <color rgb="FF1D1D1F"/>
        <rFont val="Noto Sans CJK SC"/>
        <family val="2"/>
      </rPr>
      <t xml:space="preserve">번 답에 따라 완료 여부로 관리하는 유형으로
② 두 지표의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설명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에 숫자를 어디서 가져오는지 적어둔다
③ WD-01에서 만든 목표로 돌아가 </t>
    </r>
    <r>
      <rPr>
        <sz val="9"/>
        <color rgb="FF1D1D1F"/>
        <rFont val="맑은 고딕"/>
        <family val="0"/>
        <charset val="1"/>
      </rPr>
      <t xml:space="preserve">2</t>
    </r>
    <r>
      <rPr>
        <sz val="9"/>
        <color rgb="FF1D1D1F"/>
        <rFont val="Noto Sans CJK SC"/>
        <family val="2"/>
      </rPr>
      <t xml:space="preserve">단계에서 두 지표를 모두 고른다
④ 가</t>
    </r>
    <r>
      <rPr>
        <sz val="9"/>
        <color rgb="FF1D1D1F"/>
        <rFont val="맑은 고딕"/>
        <family val="0"/>
        <charset val="1"/>
      </rPr>
      <t xml:space="preserve">.</t>
    </r>
    <r>
      <rPr>
        <sz val="9"/>
        <color rgb="FF1D1D1F"/>
        <rFont val="Noto Sans CJK SC"/>
        <family val="2"/>
      </rPr>
      <t xml:space="preserve">에는 올해 목표값과 시작값을 넣는다
⑤ 나</t>
    </r>
    <r>
      <rPr>
        <sz val="9"/>
        <color rgb="FF1D1D1F"/>
        <rFont val="맑은 고딕"/>
        <family val="0"/>
        <charset val="1"/>
      </rPr>
      <t xml:space="preserve">.</t>
    </r>
    <r>
      <rPr>
        <sz val="9"/>
        <color rgb="FF1D1D1F"/>
        <rFont val="Noto Sans CJK SC"/>
        <family val="2"/>
      </rPr>
      <t xml:space="preserve">는 목표값 칸이 어떻게 달라지는지 본다
⑥ 가</t>
    </r>
    <r>
      <rPr>
        <sz val="9"/>
        <color rgb="FF1D1D1F"/>
        <rFont val="맑은 고딕"/>
        <family val="0"/>
        <charset val="1"/>
      </rPr>
      <t xml:space="preserve">.</t>
    </r>
    <r>
      <rPr>
        <sz val="9"/>
        <color rgb="FF1D1D1F"/>
        <rFont val="Noto Sans CJK SC"/>
        <family val="2"/>
      </rPr>
      <t xml:space="preserve">의 목표값을 기간별로 나눈다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비수기에만 숫자를 넣고 나머지는 </t>
    </r>
    <r>
      <rPr>
        <sz val="9"/>
        <color rgb="FF1D1D1F"/>
        <rFont val="맑은 고딕"/>
        <family val="0"/>
        <charset val="1"/>
      </rPr>
      <t xml:space="preserve">0</t>
    </r>
    <r>
      <rPr>
        <sz val="9"/>
        <color rgb="FF1D1D1F"/>
        <rFont val="Noto Sans CJK SC"/>
        <family val="2"/>
      </rPr>
      <t xml:space="preserve">으로 둬본다</t>
    </r>
  </si>
  <si>
    <r>
      <rPr>
        <sz val="9"/>
        <color rgb="FFB9821F"/>
        <rFont val="Noto Sans CJK SC"/>
        <family val="2"/>
      </rPr>
      <t xml:space="preserve">완료 여부로 관리하는 지표는 목표값</t>
    </r>
    <r>
      <rPr>
        <sz val="9"/>
        <color rgb="FFB9821F"/>
        <rFont val="맑은 고딕"/>
        <family val="0"/>
        <charset val="1"/>
      </rPr>
      <t xml:space="preserve">·</t>
    </r>
    <r>
      <rPr>
        <sz val="9"/>
        <color rgb="FFB9821F"/>
        <rFont val="Noto Sans CJK SC"/>
        <family val="2"/>
      </rPr>
      <t xml:space="preserve">단위를 묻지 않는지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기간별 목표를 직접 조정했을 때 연간 목표와 어긋나면 알려주는지</t>
    </r>
  </si>
  <si>
    <t xml:space="preserve">WD-03</t>
  </si>
  <si>
    <r>
      <rPr>
        <b val="true"/>
        <sz val="9"/>
        <color rgb="FF1D1D1F"/>
        <rFont val="맑은 고딕"/>
        <family val="0"/>
        <charset val="1"/>
      </rPr>
      <t xml:space="preserve">3</t>
    </r>
    <r>
      <rPr>
        <b val="true"/>
        <sz val="9"/>
        <color rgb="FF1D1D1F"/>
        <rFont val="Noto Sans CJK SC"/>
        <family val="2"/>
      </rPr>
      <t xml:space="preserve">단계 </t>
    </r>
    <r>
      <rPr>
        <b val="true"/>
        <sz val="9"/>
        <color rgb="FF1D1D1F"/>
        <rFont val="맑은 고딕"/>
        <family val="0"/>
        <charset val="1"/>
      </rPr>
      <t xml:space="preserve">· </t>
    </r>
    <r>
      <rPr>
        <b val="true"/>
        <sz val="9"/>
        <color rgb="FF1D1D1F"/>
        <rFont val="Noto Sans CJK SC"/>
        <family val="2"/>
      </rPr>
      <t xml:space="preserve">내놓고 </t>
    </r>
    <r>
      <rPr>
        <b val="true"/>
        <sz val="9"/>
        <color rgb="FF1D1D1F"/>
        <rFont val="맑은 고딕"/>
        <family val="0"/>
        <charset val="1"/>
      </rPr>
      <t xml:space="preserve">· </t>
    </r>
    <r>
      <rPr>
        <b val="true"/>
        <sz val="9"/>
        <color rgb="FF1D1D1F"/>
        <rFont val="Noto Sans CJK SC"/>
        <family val="2"/>
      </rPr>
      <t xml:space="preserve">재보고 </t>
    </r>
    <r>
      <rPr>
        <b val="true"/>
        <sz val="9"/>
        <color rgb="FF1D1D1F"/>
        <rFont val="맑은 고딕"/>
        <family val="0"/>
        <charset val="1"/>
      </rPr>
      <t xml:space="preserve">· </t>
    </r>
    <r>
      <rPr>
        <b val="true"/>
        <sz val="9"/>
        <color rgb="FF1D1D1F"/>
        <rFont val="Noto Sans CJK SC"/>
        <family val="2"/>
      </rPr>
      <t xml:space="preserve">정리
</t>
    </r>
    <r>
      <rPr>
        <b val="true"/>
        <sz val="9"/>
        <color rgb="FF1D1D1F"/>
        <rFont val="맑은 고딕"/>
        <family val="0"/>
        <charset val="1"/>
      </rPr>
      <t xml:space="preserve">(</t>
    </r>
    <r>
      <rPr>
        <b val="true"/>
        <sz val="9"/>
        <color rgb="FF1D1D1F"/>
        <rFont val="Noto Sans CJK SC"/>
        <family val="2"/>
      </rPr>
      <t xml:space="preserve">약 </t>
    </r>
    <r>
      <rPr>
        <b val="true"/>
        <sz val="9"/>
        <color rgb="FF1D1D1F"/>
        <rFont val="맑은 고딕"/>
        <family val="0"/>
        <charset val="1"/>
      </rPr>
      <t xml:space="preserve">30</t>
    </r>
    <r>
      <rPr>
        <b val="true"/>
        <sz val="9"/>
        <color rgb="FF1D1D1F"/>
        <rFont val="Noto Sans CJK SC"/>
        <family val="2"/>
      </rPr>
      <t xml:space="preserve">분</t>
    </r>
    <r>
      <rPr>
        <b val="true"/>
        <sz val="9"/>
        <color rgb="FF1D1D1F"/>
        <rFont val="맑은 고딕"/>
        <family val="0"/>
        <charset val="1"/>
      </rPr>
      <t xml:space="preserve">)</t>
    </r>
  </si>
  <si>
    <r>
      <rPr>
        <b val="true"/>
        <sz val="10"/>
        <color rgb="FF1D1D1F"/>
        <rFont val="Noto Sans CJK SC"/>
        <family val="2"/>
      </rPr>
      <t xml:space="preserve">제출해서 검토자 눈으로 다시 보고</t>
    </r>
    <r>
      <rPr>
        <b val="true"/>
        <sz val="10"/>
        <color rgb="FF1D1D1F"/>
        <rFont val="맑은 고딕"/>
        <family val="0"/>
        <charset val="1"/>
      </rPr>
      <t xml:space="preserve">, </t>
    </r>
    <r>
      <rPr>
        <b val="true"/>
        <sz val="10"/>
        <color rgb="FF1D1D1F"/>
        <rFont val="Noto Sans CJK SC"/>
        <family val="2"/>
      </rPr>
      <t xml:space="preserve">성격이 다른 두 지표의 달성률이 어떻게 합쳐지는지 확인한 뒤 뒷정리한다</t>
    </r>
  </si>
  <si>
    <r>
      <rPr>
        <sz val="9"/>
        <color rgb="FF1D1D1F"/>
        <rFont val="맑은 고딕"/>
        <family val="0"/>
        <charset val="1"/>
      </rPr>
      <t xml:space="preserve">[</t>
    </r>
    <r>
      <rPr>
        <sz val="9"/>
        <color rgb="FF1D1D1F"/>
        <rFont val="Noto Sans CJK SC"/>
        <family val="2"/>
      </rPr>
      <t xml:space="preserve">연습용 상황 이어서</t>
    </r>
    <r>
      <rPr>
        <sz val="9"/>
        <color rgb="FF1D1D1F"/>
        <rFont val="맑은 고딕"/>
        <family val="0"/>
        <charset val="1"/>
      </rPr>
      <t xml:space="preserve">]
</t>
    </r>
    <r>
      <rPr>
        <sz val="9"/>
        <color rgb="FF1D1D1F"/>
        <rFont val="Noto Sans CJK SC"/>
        <family val="2"/>
      </rPr>
      <t xml:space="preserve">한 목표에 성격이 다른 지표 두 개가 붙어 있습니다</t>
    </r>
    <r>
      <rPr>
        <sz val="9"/>
        <color rgb="FF1D1D1F"/>
        <rFont val="맑은 고딕"/>
        <family val="0"/>
        <charset val="1"/>
      </rPr>
      <t xml:space="preserve">.
</t>
    </r>
    <r>
      <rPr>
        <sz val="9"/>
        <color rgb="FF1D1D1F"/>
        <rFont val="Noto Sans CJK SC"/>
        <family val="2"/>
      </rPr>
      <t xml:space="preserve">하나는 </t>
    </r>
    <r>
      <rPr>
        <sz val="9"/>
        <color rgb="FF1D1D1F"/>
        <rFont val="맑은 고딕"/>
        <family val="0"/>
        <charset val="1"/>
      </rPr>
      <t xml:space="preserve">78% </t>
    </r>
    <r>
      <rPr>
        <sz val="9"/>
        <color rgb="FF1D1D1F"/>
        <rFont val="Noto Sans CJK SC"/>
        <family val="2"/>
      </rPr>
      <t xml:space="preserve">달성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다른 하나는 했다</t>
    </r>
    <r>
      <rPr>
        <sz val="9"/>
        <color rgb="FF1D1D1F"/>
        <rFont val="맑은 고딕"/>
        <family val="0"/>
        <charset val="1"/>
      </rPr>
      <t xml:space="preserve">/</t>
    </r>
    <r>
      <rPr>
        <sz val="9"/>
        <color rgb="FF1D1D1F"/>
        <rFont val="Noto Sans CJK SC"/>
        <family val="2"/>
      </rPr>
      <t xml:space="preserve">안 했다뿐입니다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이 목표의 달성률은 몇 </t>
    </r>
    <r>
      <rPr>
        <sz val="9"/>
        <color rgb="FF1D1D1F"/>
        <rFont val="맑은 고딕"/>
        <family val="0"/>
        <charset val="1"/>
      </rPr>
      <t xml:space="preserve">%</t>
    </r>
    <r>
      <rPr>
        <sz val="9"/>
        <color rgb="FF1D1D1F"/>
        <rFont val="Noto Sans CJK SC"/>
        <family val="2"/>
      </rPr>
      <t xml:space="preserve">로 보여야 할까요</t>
    </r>
    <r>
      <rPr>
        <sz val="9"/>
        <color rgb="FF1D1D1F"/>
        <rFont val="맑은 고딕"/>
        <family val="0"/>
        <charset val="1"/>
      </rPr>
      <t xml:space="preserve">?
</t>
    </r>
    <r>
      <rPr>
        <sz val="9"/>
        <color rgb="FF1D1D1F"/>
        <rFont val="Noto Sans CJK SC"/>
        <family val="2"/>
      </rPr>
      <t xml:space="preserve">시스템이 어떻게 처리하는지 보고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그게 납득되는지 판단해주세요</t>
    </r>
    <r>
      <rPr>
        <sz val="9"/>
        <color rgb="FF1D1D1F"/>
        <rFont val="맑은 고딕"/>
        <family val="0"/>
        <charset val="1"/>
      </rPr>
      <t xml:space="preserve">.</t>
    </r>
  </si>
  <si>
    <r>
      <rPr>
        <sz val="9"/>
        <color rgb="FF8A6D1F"/>
        <rFont val="Noto Sans CJK SC"/>
        <family val="2"/>
      </rPr>
      <t xml:space="preserve">① 내가 쓴 </t>
    </r>
    <r>
      <rPr>
        <sz val="9"/>
        <color rgb="FF8A6D1F"/>
        <rFont val="맑은 고딕"/>
        <family val="0"/>
        <charset val="1"/>
      </rPr>
      <t xml:space="preserve">A</t>
    </r>
    <r>
      <rPr>
        <sz val="9"/>
        <color rgb="FF8A6D1F"/>
        <rFont val="Noto Sans CJK SC"/>
        <family val="2"/>
      </rPr>
      <t xml:space="preserve">칸</t>
    </r>
    <r>
      <rPr>
        <sz val="9"/>
        <color rgb="FF8A6D1F"/>
        <rFont val="맑은 고딕"/>
        <family val="0"/>
        <charset val="1"/>
      </rPr>
      <t xml:space="preserve">(</t>
    </r>
    <r>
      <rPr>
        <sz val="9"/>
        <color rgb="FF8A6D1F"/>
        <rFont val="Noto Sans CJK SC"/>
        <family val="2"/>
      </rPr>
      <t xml:space="preserve">가능한 근거</t>
    </r>
    <r>
      <rPr>
        <sz val="9"/>
        <color rgb="FF8A6D1F"/>
        <rFont val="맑은 고딕"/>
        <family val="0"/>
        <charset val="1"/>
      </rPr>
      <t xml:space="preserve">)</t>
    </r>
    <r>
      <rPr>
        <sz val="9"/>
        <color rgb="FF8A6D1F"/>
        <rFont val="Noto Sans CJK SC"/>
        <family val="2"/>
      </rPr>
      <t xml:space="preserve">을 검토자가 보면 </t>
    </r>
    <r>
      <rPr>
        <sz val="9"/>
        <color rgb="FF8A6D1F"/>
        <rFont val="맑은 고딕"/>
        <family val="0"/>
        <charset val="1"/>
      </rPr>
      <t xml:space="preserve">'</t>
    </r>
    <r>
      <rPr>
        <sz val="9"/>
        <color rgb="FF8A6D1F"/>
        <rFont val="Noto Sans CJK SC"/>
        <family val="2"/>
      </rPr>
      <t xml:space="preserve">그 숫자 어디서 나왔냐</t>
    </r>
    <r>
      <rPr>
        <sz val="9"/>
        <color rgb="FF8A6D1F"/>
        <rFont val="맑은 고딕"/>
        <family val="0"/>
        <charset val="1"/>
      </rPr>
      <t xml:space="preserve">'</t>
    </r>
    <r>
      <rPr>
        <sz val="9"/>
        <color rgb="FF8A6D1F"/>
        <rFont val="Noto Sans CJK SC"/>
        <family val="2"/>
      </rPr>
      <t xml:space="preserve">고 물을 것 같습니까</t>
    </r>
    <r>
      <rPr>
        <sz val="9"/>
        <color rgb="FF8A6D1F"/>
        <rFont val="맑은 고딕"/>
        <family val="0"/>
        <charset val="1"/>
      </rPr>
      <t xml:space="preserve">?
② 두 지표의 달성률을 하나로 합친다면 어떻게 합치는 게 맞습니까? </t>
    </r>
    <r>
      <rPr>
        <sz val="9"/>
        <color rgb="FF8A6D1F"/>
        <rFont val="Noto Sans CJK SC"/>
        <family val="2"/>
      </rPr>
      <t xml:space="preserve">단순 평균입니까</t>
    </r>
    <r>
      <rPr>
        <sz val="9"/>
        <color rgb="FF8A6D1F"/>
        <rFont val="맑은 고딕"/>
        <family val="0"/>
        <charset val="1"/>
      </rPr>
      <t xml:space="preserve">, </t>
    </r>
    <r>
      <rPr>
        <sz val="9"/>
        <color rgb="FF8A6D1F"/>
        <rFont val="Noto Sans CJK SC"/>
        <family val="2"/>
      </rPr>
      <t xml:space="preserve">가중치를 둡니까</t>
    </r>
    <r>
      <rPr>
        <sz val="9"/>
        <color rgb="FF8A6D1F"/>
        <rFont val="맑은 고딕"/>
        <family val="0"/>
        <charset val="1"/>
      </rPr>
      <t xml:space="preserve">?
③ 가중치를 둔다면 그 비율의 근거를 검토자에게 설명할 수 있습니까?
   (</t>
    </r>
    <r>
      <rPr>
        <sz val="9"/>
        <color rgb="FF8A6D1F"/>
        <rFont val="Noto Sans CJK SC"/>
        <family val="2"/>
      </rPr>
      <t xml:space="preserve">시스템은 단순 평균을 씁니다</t>
    </r>
    <r>
      <rPr>
        <sz val="9"/>
        <color rgb="FF8A6D1F"/>
        <rFont val="맑은 고딕"/>
        <family val="0"/>
        <charset val="1"/>
      </rPr>
      <t xml:space="preserve">. </t>
    </r>
    <r>
      <rPr>
        <sz val="9"/>
        <color rgb="FF8A6D1F"/>
        <rFont val="Noto Sans CJK SC"/>
        <family val="2"/>
      </rPr>
      <t xml:space="preserve">그 이유가 화면에 적혀 있는지 보세요</t>
    </r>
    <r>
      <rPr>
        <sz val="9"/>
        <color rgb="FF8A6D1F"/>
        <rFont val="맑은 고딕"/>
        <family val="0"/>
        <charset val="1"/>
      </rPr>
      <t xml:space="preserve">)</t>
    </r>
  </si>
  <si>
    <r>
      <rPr>
        <sz val="9"/>
        <color rgb="FF1D1D1F"/>
        <rFont val="Noto Sans CJK SC"/>
        <family val="2"/>
      </rPr>
      <t xml:space="preserve">① 목표를 제출한다
② '나의 할 일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에 검토 차례로 올라오는지 본다
③ 검토 화면을 열어 지표 두 개가 표에 어떻게 나오는지 본다
④ 숫자 지표 하나만 콕 집어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보완 요청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을 보낸다
⑤ 고친 뒤 다시 제출하고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합의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한다
⑥ 실적 입력에서 숫자 지표에 </t>
    </r>
    <r>
      <rPr>
        <sz val="9"/>
        <color rgb="FF1D1D1F"/>
        <rFont val="맑은 고딕"/>
        <family val="0"/>
        <charset val="1"/>
      </rPr>
      <t xml:space="preserve">11</t>
    </r>
    <r>
      <rPr>
        <sz val="9"/>
        <color rgb="FF1D1D1F"/>
        <rFont val="Noto Sans CJK SC"/>
        <family val="2"/>
      </rPr>
      <t xml:space="preserve">월 실적을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완료 여부 지표에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완료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를 넣는다
⑦ 목표 상세의 요약 </t>
    </r>
    <r>
      <rPr>
        <sz val="9"/>
        <color rgb="FF1D1D1F"/>
        <rFont val="맑은 고딕"/>
        <family val="0"/>
        <charset val="1"/>
      </rPr>
      <t xml:space="preserve">4</t>
    </r>
    <r>
      <rPr>
        <sz val="9"/>
        <color rgb="FF1D1D1F"/>
        <rFont val="Noto Sans CJK SC"/>
        <family val="2"/>
      </rPr>
      <t xml:space="preserve">칸에서 달성률과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지표 </t>
    </r>
    <r>
      <rPr>
        <sz val="9"/>
        <color rgb="FF1D1D1F"/>
        <rFont val="맑은 고딕"/>
        <family val="0"/>
        <charset val="1"/>
      </rPr>
      <t xml:space="preserve">N</t>
    </r>
    <r>
      <rPr>
        <sz val="9"/>
        <color rgb="FF1D1D1F"/>
        <rFont val="Noto Sans CJK SC"/>
        <family val="2"/>
      </rPr>
      <t xml:space="preserve">개 평균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표기를 본다
⑧ 설정 → </t>
    </r>
    <r>
      <rPr>
        <sz val="9"/>
        <color rgb="FF1D1D1F"/>
        <rFont val="맑은 고딕"/>
        <family val="0"/>
        <charset val="1"/>
      </rPr>
      <t xml:space="preserve">KPI </t>
    </r>
    <r>
      <rPr>
        <sz val="9"/>
        <color rgb="FF1D1D1F"/>
        <rFont val="Noto Sans CJK SC"/>
        <family val="2"/>
      </rPr>
      <t xml:space="preserve">기준정보에서 </t>
    </r>
    <r>
      <rPr>
        <sz val="9"/>
        <color rgb="FF1D1D1F"/>
        <rFont val="맑은 고딕"/>
        <family val="0"/>
        <charset val="1"/>
      </rPr>
      <t xml:space="preserve">'[</t>
    </r>
    <r>
      <rPr>
        <sz val="9"/>
        <color rgb="FF1D1D1F"/>
        <rFont val="Noto Sans CJK SC"/>
        <family val="2"/>
      </rPr>
      <t xml:space="preserve">연습</t>
    </r>
    <r>
      <rPr>
        <sz val="9"/>
        <color rgb="FF1D1D1F"/>
        <rFont val="맑은 고딕"/>
        <family val="0"/>
        <charset val="1"/>
      </rPr>
      <t xml:space="preserve">]' </t>
    </r>
    <r>
      <rPr>
        <sz val="9"/>
        <color rgb="FF1D1D1F"/>
        <rFont val="Noto Sans CJK SC"/>
        <family val="2"/>
      </rPr>
      <t xml:space="preserve">지표 두 개를 숨김 처리한다
⑨ 목록에서 그 지표를 쓰던 목표가 어떻게 보이는지 확인한다</t>
    </r>
  </si>
  <si>
    <r>
      <rPr>
        <sz val="9"/>
        <color rgb="FFB9821F"/>
        <rFont val="Noto Sans CJK SC"/>
        <family val="2"/>
      </rPr>
      <t xml:space="preserve">성격이 다른 두 지표의 달성률이 어떻게 합쳐지는지</t>
    </r>
    <r>
      <rPr>
        <sz val="9"/>
        <color rgb="FFB9821F"/>
        <rFont val="맑은 고딕"/>
        <family val="0"/>
        <charset val="1"/>
      </rPr>
      <t xml:space="preserve">, </t>
    </r>
    <r>
      <rPr>
        <sz val="9"/>
        <color rgb="FFB9821F"/>
        <rFont val="Noto Sans CJK SC"/>
        <family val="2"/>
      </rPr>
      <t xml:space="preserve">그 계산 방식이 화면에 설명돼 있는지</t>
    </r>
  </si>
  <si>
    <r>
      <rPr>
        <b val="true"/>
        <sz val="12"/>
        <color rgb="FF1D1D1F"/>
        <rFont val="Noto Sans CJK SC"/>
        <family val="2"/>
      </rPr>
      <t xml:space="preserve">확인항목 — 기대 결과</t>
    </r>
    <r>
      <rPr>
        <b val="true"/>
        <sz val="12"/>
        <color rgb="FF1D1D1F"/>
        <rFont val="맑은 고딕"/>
        <family val="0"/>
        <charset val="1"/>
      </rPr>
      <t xml:space="preserve">(</t>
    </r>
    <r>
      <rPr>
        <b val="true"/>
        <sz val="12"/>
        <color rgb="FF1D1D1F"/>
        <rFont val="Noto Sans CJK SC"/>
        <family val="2"/>
      </rPr>
      <t xml:space="preserve">맨 오른쪽</t>
    </r>
    <r>
      <rPr>
        <b val="true"/>
        <sz val="12"/>
        <color rgb="FF1D1D1F"/>
        <rFont val="맑은 고딕"/>
        <family val="0"/>
        <charset val="1"/>
      </rPr>
      <t xml:space="preserve">)</t>
    </r>
    <r>
      <rPr>
        <b val="true"/>
        <sz val="12"/>
        <color rgb="FF1D1D1F"/>
        <rFont val="Noto Sans CJK SC"/>
        <family val="2"/>
      </rPr>
      <t xml:space="preserve">와 실제 화면을 비교해 판정합니다</t>
    </r>
    <r>
      <rPr>
        <b val="true"/>
        <sz val="12"/>
        <color rgb="FF1D1D1F"/>
        <rFont val="맑은 고딕"/>
        <family val="0"/>
        <charset val="1"/>
      </rPr>
      <t xml:space="preserve">. </t>
    </r>
    <r>
      <rPr>
        <b val="true"/>
        <sz val="12"/>
        <color rgb="FF1D1D1F"/>
        <rFont val="Noto Sans CJK SC"/>
        <family val="2"/>
      </rPr>
      <t xml:space="preserve">노란 칸만 입력하세요</t>
    </r>
    <r>
      <rPr>
        <b val="true"/>
        <sz val="12"/>
        <color rgb="FF1D1D1F"/>
        <rFont val="맑은 고딕"/>
        <family val="0"/>
        <charset val="1"/>
      </rPr>
      <t xml:space="preserve">.</t>
    </r>
  </si>
  <si>
    <t xml:space="preserve">담당자</t>
  </si>
  <si>
    <t xml:space="preserve">회사</t>
  </si>
  <si>
    <t xml:space="preserve">구분</t>
  </si>
  <si>
    <t xml:space="preserve">화면 위치</t>
  </si>
  <si>
    <t xml:space="preserve">확인항목</t>
  </si>
  <si>
    <t xml:space="preserve">판정</t>
  </si>
  <si>
    <r>
      <rPr>
        <b val="true"/>
        <sz val="10"/>
        <color rgb="FFFFFFFF"/>
        <rFont val="Noto Sans CJK SC"/>
        <family val="2"/>
      </rPr>
      <t xml:space="preserve">실제로 본 것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다를 때만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</si>
  <si>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결함</t>
    </r>
    <r>
      <rPr>
        <b val="true"/>
        <sz val="10"/>
        <color rgb="FFFFFFFF"/>
        <rFont val="맑은 고딕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</si>
  <si>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기대 결과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이렇게 나와야 합니다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</si>
  <si>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류원준</t>
  </si>
  <si>
    <t xml:space="preserve">강원심층수</t>
  </si>
  <si>
    <t xml:space="preserve">기능</t>
  </si>
  <si>
    <t xml:space="preserve">왼쪽 메뉴</t>
  </si>
  <si>
    <t xml:space="preserve">메뉴 순서</t>
  </si>
  <si>
    <r>
      <rPr>
        <sz val="9"/>
        <color rgb="FF1D1D1F"/>
        <rFont val="Noto Sans CJK SC"/>
        <family val="2"/>
      </rPr>
      <t xml:space="preserve">위에서부터 대시보드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나의 할 일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사업계획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실적 입력 순서로 있고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맨 아래에 설정이 있다</t>
    </r>
  </si>
  <si>
    <t xml:space="preserve">로그인 직후</t>
  </si>
  <si>
    <t xml:space="preserve">첫 화면</t>
  </si>
  <si>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대시보드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화면이 열린다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나의 할 일이 아니다</t>
    </r>
    <r>
      <rPr>
        <sz val="9"/>
        <color rgb="FF1D1D1F"/>
        <rFont val="맑은 고딕"/>
        <family val="0"/>
        <charset val="1"/>
      </rPr>
      <t xml:space="preserve">)</t>
    </r>
  </si>
  <si>
    <t xml:space="preserve">왼쪽 아래</t>
  </si>
  <si>
    <t xml:space="preserve">연도</t>
  </si>
  <si>
    <r>
      <rPr>
        <sz val="9"/>
        <color rgb="FF1D1D1F"/>
        <rFont val="맑은 고딕"/>
        <family val="0"/>
        <charset val="1"/>
      </rPr>
      <t xml:space="preserve">2026</t>
    </r>
    <r>
      <rPr>
        <sz val="9"/>
        <color rgb="FF1D1D1F"/>
        <rFont val="Noto Sans CJK SC"/>
        <family val="2"/>
      </rPr>
      <t xml:space="preserve">년으로 되어 있다</t>
    </r>
  </si>
  <si>
    <t xml:space="preserve">화면 위 필터</t>
  </si>
  <si>
    <t xml:space="preserve">회사 선택</t>
  </si>
  <si>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강원심층수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만 있다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다른 계열사는 고를 수 없다</t>
    </r>
  </si>
  <si>
    <t xml:space="preserve">다른 회사 데이터</t>
  </si>
  <si>
    <t xml:space="preserve">강원심층수 목표만 나온다</t>
  </si>
  <si>
    <t xml:space="preserve">대시보드 위</t>
  </si>
  <si>
    <t xml:space="preserve">전체 목표 숫자</t>
  </si>
  <si>
    <t xml:space="preserve">누르면 사업계획 목록으로 넘어간다</t>
  </si>
  <si>
    <t xml:space="preserve">대시보드 아래</t>
  </si>
  <si>
    <t xml:space="preserve">실적 미입력 카드</t>
  </si>
  <si>
    <r>
      <rPr>
        <sz val="9"/>
        <color rgb="FF1D1D1F"/>
        <rFont val="Noto Sans CJK SC"/>
        <family val="2"/>
      </rPr>
      <t xml:space="preserve">목표 이름을 누르면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실적 입력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화면이 열린다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대시보드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현황이 아니다</t>
    </r>
    <r>
      <rPr>
        <sz val="9"/>
        <color rgb="FF1D1D1F"/>
        <rFont val="맑은 고딕"/>
        <family val="0"/>
        <charset val="1"/>
      </rPr>
      <t xml:space="preserve">)</t>
    </r>
  </si>
  <si>
    <t xml:space="preserve">실적 입력 화면</t>
  </si>
  <si>
    <t xml:space="preserve">목표 선택 상태</t>
  </si>
  <si>
    <t xml:space="preserve">넘어간 화면에서 그 목표가 이미 골라져 있다</t>
  </si>
  <si>
    <t xml:space="preserve">도넛 그래프</t>
  </si>
  <si>
    <t xml:space="preserve">조각 클릭</t>
  </si>
  <si>
    <t xml:space="preserve">조각을 누르면 그 상태의 목표만 걸러진 목록이 열린다</t>
  </si>
  <si>
    <t xml:space="preserve">대시보드 맨 위</t>
  </si>
  <si>
    <t xml:space="preserve">한 줄 요약</t>
  </si>
  <si>
    <t xml:space="preserve">현재 상황을 한 문장으로 알려주는 글이 있다</t>
  </si>
  <si>
    <t xml:space="preserve">카드 목록</t>
  </si>
  <si>
    <t xml:space="preserve">지금 내가 처리할 목표만 카드로 나온다</t>
  </si>
  <si>
    <t xml:space="preserve">정렬 순서</t>
  </si>
  <si>
    <r>
      <rPr>
        <sz val="9"/>
        <color rgb="FF1D1D1F"/>
        <rFont val="Noto Sans CJK SC"/>
        <family val="2"/>
      </rPr>
      <t xml:space="preserve">급한 것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마감 지남 → 남이 넘긴 일 → 내가 멈춰둔 일</t>
    </r>
    <r>
      <rPr>
        <sz val="9"/>
        <color rgb="FF1D1D1F"/>
        <rFont val="맑은 고딕"/>
        <family val="0"/>
        <charset val="1"/>
      </rPr>
      <t xml:space="preserve">) </t>
    </r>
    <r>
      <rPr>
        <sz val="9"/>
        <color rgb="FF1D1D1F"/>
        <rFont val="Noto Sans CJK SC"/>
        <family val="2"/>
      </rPr>
      <t xml:space="preserve">순으로 위에 있다</t>
    </r>
  </si>
  <si>
    <t xml:space="preserve">사업계획 옆 숫자</t>
  </si>
  <si>
    <r>
      <rPr>
        <sz val="9"/>
        <color rgb="FF1D1D1F"/>
        <rFont val="Noto Sans CJK SC"/>
        <family val="2"/>
      </rPr>
      <t xml:space="preserve">빨간 숫자가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나의 할 일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카드 장수와 같다</t>
    </r>
  </si>
  <si>
    <t xml:space="preserve">카드 클릭</t>
  </si>
  <si>
    <t xml:space="preserve">누르면 그 일을 처리하는 화면으로 바로 간다</t>
  </si>
  <si>
    <t xml:space="preserve">할 일이 없을 때</t>
  </si>
  <si>
    <t xml:space="preserve">빈 화면이 아니라 안내 문구가 나온다</t>
  </si>
  <si>
    <t xml:space="preserve">사업부 이름</t>
  </si>
  <si>
    <t xml:space="preserve">같은 사업부가 이어질 때 두 번째 줄부터는 사업부 칸이 비어 있다</t>
  </si>
  <si>
    <t xml:space="preserve">전략 이름 〃</t>
  </si>
  <si>
    <t xml:space="preserve">위와 같은 전략 이름은 〃로 줄어 있다</t>
  </si>
  <si>
    <t xml:space="preserve">펼침 단추</t>
  </si>
  <si>
    <t xml:space="preserve">〃로 줄어든 줄에도 › 단추가 있고 눌러서 펼쳐진다</t>
  </si>
  <si>
    <t xml:space="preserve">펼친 칸 맨 위</t>
  </si>
  <si>
    <t xml:space="preserve">목표 이름</t>
  </si>
  <si>
    <t xml:space="preserve">어느 목표를 펼친 건지 전략 이름과 번호가 적혀 있다</t>
  </si>
  <si>
    <t xml:space="preserve">펼친 칸</t>
  </si>
  <si>
    <r>
      <rPr>
        <b val="true"/>
        <sz val="9"/>
        <color rgb="FF1D1D1F"/>
        <rFont val="맑은 고딕"/>
        <family val="0"/>
        <charset val="1"/>
      </rPr>
      <t xml:space="preserve">SMART </t>
    </r>
    <r>
      <rPr>
        <b val="true"/>
        <sz val="9"/>
        <color rgb="FF1D1D1F"/>
        <rFont val="Noto Sans CJK SC"/>
        <family val="2"/>
      </rPr>
      <t xml:space="preserve">배열</t>
    </r>
  </si>
  <si>
    <r>
      <rPr>
        <sz val="9"/>
        <color rgb="FF1D1D1F"/>
        <rFont val="맑은 고딕"/>
        <family val="0"/>
        <charset val="1"/>
      </rPr>
      <t xml:space="preserve">S·M·A·R·T</t>
    </r>
    <r>
      <rPr>
        <sz val="9"/>
        <color rgb="FF1D1D1F"/>
        <rFont val="Noto Sans CJK SC"/>
        <family val="2"/>
      </rPr>
      <t xml:space="preserve">가 세로로 한 줄씩 쌓여 있고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알파벳 옆에 영어 전체 이름</t>
    </r>
    <r>
      <rPr>
        <sz val="9"/>
        <color rgb="FF1D1D1F"/>
        <rFont val="맑은 고딕"/>
        <family val="0"/>
        <charset val="1"/>
      </rPr>
      <t xml:space="preserve">(Specific </t>
    </r>
    <r>
      <rPr>
        <sz val="9"/>
        <color rgb="FF1D1D1F"/>
        <rFont val="Noto Sans CJK SC"/>
        <family val="2"/>
      </rPr>
      <t xml:space="preserve">등</t>
    </r>
    <r>
      <rPr>
        <sz val="9"/>
        <color rgb="FF1D1D1F"/>
        <rFont val="맑은 고딕"/>
        <family val="0"/>
        <charset val="1"/>
      </rPr>
      <t xml:space="preserve">)</t>
    </r>
    <r>
      <rPr>
        <sz val="9"/>
        <color rgb="FF1D1D1F"/>
        <rFont val="Noto Sans CJK SC"/>
        <family val="2"/>
      </rPr>
      <t xml:space="preserve">이 있다</t>
    </r>
  </si>
  <si>
    <t xml:space="preserve">불릿</t>
  </si>
  <si>
    <r>
      <rPr>
        <sz val="9"/>
        <color rgb="FF1D1D1F"/>
        <rFont val="Noto Sans CJK SC"/>
        <family val="2"/>
      </rPr>
      <t xml:space="preserve">적어둔 내용이 한 줄이어도 앞에 점</t>
    </r>
    <r>
      <rPr>
        <sz val="9"/>
        <color rgb="FF1D1D1F"/>
        <rFont val="맑은 고딕"/>
        <family val="0"/>
        <charset val="1"/>
      </rPr>
      <t xml:space="preserve">(·)</t>
    </r>
    <r>
      <rPr>
        <sz val="9"/>
        <color rgb="FF1D1D1F"/>
        <rFont val="Noto Sans CJK SC"/>
        <family val="2"/>
      </rPr>
      <t xml:space="preserve">이 붙어 있다</t>
    </r>
  </si>
  <si>
    <t xml:space="preserve">탭 전환</t>
  </si>
  <si>
    <r>
      <rPr>
        <sz val="9"/>
        <color rgb="FF1D1D1F"/>
        <rFont val="Noto Sans CJK SC"/>
        <family val="2"/>
      </rPr>
      <t xml:space="preserve">내 차례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작성 중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검토 중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확정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전체 탭마다 건수가 다르게 나온다</t>
    </r>
  </si>
  <si>
    <r>
      <rPr>
        <sz val="9"/>
        <color rgb="FF1D1D1F"/>
        <rFont val="Noto Sans CJK SC"/>
        <family val="2"/>
      </rPr>
      <t xml:space="preserve">목표 작성 </t>
    </r>
    <r>
      <rPr>
        <sz val="9"/>
        <color rgb="FF1D1D1F"/>
        <rFont val="맑은 고딕"/>
        <family val="0"/>
        <charset val="1"/>
      </rPr>
      <t xml:space="preserve">2</t>
    </r>
    <r>
      <rPr>
        <sz val="9"/>
        <color rgb="FF1D1D1F"/>
        <rFont val="Noto Sans CJK SC"/>
        <family val="2"/>
      </rPr>
      <t xml:space="preserve">단계</t>
    </r>
  </si>
  <si>
    <t xml:space="preserve">초성 검색</t>
  </si>
  <si>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ㅁㅊ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을 치면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매출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 들어간 지표가 걸러진다</t>
    </r>
  </si>
  <si>
    <t xml:space="preserve">단위 미입력</t>
  </si>
  <si>
    <r>
      <rPr>
        <sz val="9"/>
        <color rgb="FF1D1D1F"/>
        <rFont val="Noto Sans CJK SC"/>
        <family val="2"/>
      </rPr>
      <t xml:space="preserve">단위를 비우면 제출이 막히고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무엇이 필요한지 알려준다</t>
    </r>
  </si>
  <si>
    <t xml:space="preserve">목표값 나누기</t>
  </si>
  <si>
    <t xml:space="preserve">연간 목표값을 월별로 자동 분배할 수 있다</t>
  </si>
  <si>
    <r>
      <rPr>
        <sz val="9"/>
        <color rgb="FF1D1D1F"/>
        <rFont val="Noto Sans CJK SC"/>
        <family val="2"/>
      </rPr>
      <t xml:space="preserve">목표 작성 </t>
    </r>
    <r>
      <rPr>
        <sz val="9"/>
        <color rgb="FF1D1D1F"/>
        <rFont val="맑은 고딕"/>
        <family val="0"/>
        <charset val="1"/>
      </rPr>
      <t xml:space="preserve">3</t>
    </r>
    <r>
      <rPr>
        <sz val="9"/>
        <color rgb="FF1D1D1F"/>
        <rFont val="Noto Sans CJK SC"/>
        <family val="2"/>
      </rPr>
      <t xml:space="preserve">단계</t>
    </r>
  </si>
  <si>
    <r>
      <rPr>
        <b val="true"/>
        <sz val="9"/>
        <color rgb="FF1D1D1F"/>
        <rFont val="맑은 고딕"/>
        <family val="0"/>
        <charset val="1"/>
      </rPr>
      <t xml:space="preserve">SMART </t>
    </r>
    <r>
      <rPr>
        <b val="true"/>
        <sz val="9"/>
        <color rgb="FF1D1D1F"/>
        <rFont val="Noto Sans CJK SC"/>
        <family val="2"/>
      </rPr>
      <t xml:space="preserve">비워두기</t>
    </r>
  </si>
  <si>
    <r>
      <rPr>
        <sz val="9"/>
        <color rgb="FF1D1D1F"/>
        <rFont val="맑은 고딕"/>
        <family val="0"/>
        <charset val="1"/>
      </rPr>
      <t xml:space="preserve">SMART</t>
    </r>
    <r>
      <rPr>
        <sz val="9"/>
        <color rgb="FF1D1D1F"/>
        <rFont val="Noto Sans CJK SC"/>
        <family val="2"/>
      </rPr>
      <t xml:space="preserve">를 하나도 안 써도 제출된다</t>
    </r>
  </si>
  <si>
    <t xml:space="preserve">자동 저장</t>
  </si>
  <si>
    <r>
      <rPr>
        <sz val="9"/>
        <color rgb="FF1D1D1F"/>
        <rFont val="맑은 고딕"/>
        <family val="0"/>
        <charset val="1"/>
      </rPr>
      <t xml:space="preserve">1</t>
    </r>
    <r>
      <rPr>
        <sz val="9"/>
        <color rgb="FF1D1D1F"/>
        <rFont val="Noto Sans CJK SC"/>
        <family val="2"/>
      </rPr>
      <t xml:space="preserve">단계로 돌아가도 앞서 쓴 내용이 그대로 남아 있다</t>
    </r>
  </si>
  <si>
    <t xml:space="preserve">제출 옆 안내</t>
  </si>
  <si>
    <r>
      <rPr>
        <sz val="9"/>
        <color rgb="FF1D1D1F"/>
        <rFont val="Noto Sans CJK SC"/>
        <family val="2"/>
      </rPr>
      <t xml:space="preserve">비어 있는 </t>
    </r>
    <r>
      <rPr>
        <sz val="9"/>
        <color rgb="FF1D1D1F"/>
        <rFont val="맑은 고딕"/>
        <family val="0"/>
        <charset val="1"/>
      </rPr>
      <t xml:space="preserve">SMART </t>
    </r>
    <r>
      <rPr>
        <sz val="9"/>
        <color rgb="FF1D1D1F"/>
        <rFont val="Noto Sans CJK SC"/>
        <family val="2"/>
      </rPr>
      <t xml:space="preserve">칸이 무엇인지 제출 단추 옆에 적혀 있다</t>
    </r>
  </si>
  <si>
    <t xml:space="preserve">목록 상태칸 아래</t>
  </si>
  <si>
    <r>
      <rPr>
        <b val="true"/>
        <sz val="9"/>
        <color rgb="FF1D1D1F"/>
        <rFont val="Noto Sans CJK SC"/>
        <family val="2"/>
      </rPr>
      <t xml:space="preserve">전사 공통 </t>
    </r>
    <r>
      <rPr>
        <b val="true"/>
        <sz val="9"/>
        <color rgb="FF1D1D1F"/>
        <rFont val="맑은 고딕"/>
        <family val="0"/>
        <charset val="1"/>
      </rPr>
      <t xml:space="preserve">2</t>
    </r>
    <r>
      <rPr>
        <b val="true"/>
        <sz val="9"/>
        <color rgb="FF1D1D1F"/>
        <rFont val="Noto Sans CJK SC"/>
        <family val="2"/>
      </rPr>
      <t xml:space="preserve">번</t>
    </r>
  </si>
  <si>
    <r>
      <rPr>
        <sz val="9"/>
        <color rgb="FF1D1D1F"/>
        <rFont val="맑은 고딕"/>
        <family val="0"/>
        <charset val="1"/>
      </rPr>
      <t xml:space="preserve">'KPI </t>
    </r>
    <r>
      <rPr>
        <sz val="9"/>
        <color rgb="FF1D1D1F"/>
        <rFont val="Noto Sans CJK SC"/>
        <family val="2"/>
      </rPr>
      <t xml:space="preserve">지표 필요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라고 적혀 있다</t>
    </r>
  </si>
  <si>
    <r>
      <rPr>
        <b val="true"/>
        <sz val="9"/>
        <color rgb="FF1D1D1F"/>
        <rFont val="Noto Sans CJK SC"/>
        <family val="2"/>
      </rPr>
      <t xml:space="preserve">신성장 </t>
    </r>
    <r>
      <rPr>
        <b val="true"/>
        <sz val="9"/>
        <color rgb="FF1D1D1F"/>
        <rFont val="맑은 고딕"/>
        <family val="0"/>
        <charset val="1"/>
      </rPr>
      <t xml:space="preserve">2</t>
    </r>
    <r>
      <rPr>
        <b val="true"/>
        <sz val="9"/>
        <color rgb="FF1D1D1F"/>
        <rFont val="Noto Sans CJK SC"/>
        <family val="2"/>
      </rPr>
      <t xml:space="preserve">번</t>
    </r>
  </si>
  <si>
    <r>
      <rPr>
        <sz val="9"/>
        <color rgb="FF1D1D1F"/>
        <rFont val="맑은 고딕"/>
        <family val="0"/>
        <charset val="1"/>
      </rPr>
      <t xml:space="preserve">'(</t>
    </r>
    <r>
      <rPr>
        <sz val="9"/>
        <color rgb="FF1D1D1F"/>
        <rFont val="Noto Sans CJK SC"/>
        <family val="2"/>
      </rPr>
      <t xml:space="preserve">지표명</t>
    </r>
    <r>
      <rPr>
        <sz val="9"/>
        <color rgb="FF1D1D1F"/>
        <rFont val="맑은 고딕"/>
        <family val="0"/>
        <charset val="1"/>
      </rPr>
      <t xml:space="preserve">)</t>
    </r>
    <r>
      <rPr>
        <sz val="9"/>
        <color rgb="FF1D1D1F"/>
        <rFont val="Noto Sans CJK SC"/>
        <family val="2"/>
      </rPr>
      <t xml:space="preserve">의 목표값 필요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라고 적혀 있다</t>
    </r>
  </si>
  <si>
    <r>
      <rPr>
        <b val="true"/>
        <sz val="9"/>
        <color rgb="FF1D1D1F"/>
        <rFont val="Noto Sans CJK SC"/>
        <family val="2"/>
      </rPr>
      <t xml:space="preserve">전사 공통 </t>
    </r>
    <r>
      <rPr>
        <b val="true"/>
        <sz val="9"/>
        <color rgb="FF1D1D1F"/>
        <rFont val="맑은 고딕"/>
        <family val="0"/>
        <charset val="1"/>
      </rPr>
      <t xml:space="preserve">1</t>
    </r>
    <r>
      <rPr>
        <b val="true"/>
        <sz val="9"/>
        <color rgb="FF1D1D1F"/>
        <rFont val="Noto Sans CJK SC"/>
        <family val="2"/>
      </rPr>
      <t xml:space="preserve">번</t>
    </r>
  </si>
  <si>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제출 가능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이라고 적혀 있다</t>
    </r>
  </si>
  <si>
    <t xml:space="preserve">목표 작성 화면</t>
  </si>
  <si>
    <t xml:space="preserve">실제 제출 시도</t>
  </si>
  <si>
    <t xml:space="preserve">목록에 적힌 것과 같은 사유로 막힌다</t>
  </si>
  <si>
    <t xml:space="preserve">제출 후 상태</t>
  </si>
  <si>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검토 중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으로 바뀐다</t>
    </r>
  </si>
  <si>
    <t xml:space="preserve">검토 차례</t>
  </si>
  <si>
    <r>
      <rPr>
        <sz val="9"/>
        <color rgb="FF1D1D1F"/>
        <rFont val="Noto Sans CJK SC"/>
        <family val="2"/>
      </rPr>
      <t xml:space="preserve">제출한 목표가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검토할 차례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로 올라온다</t>
    </r>
  </si>
  <si>
    <t xml:space="preserve">지표 표</t>
  </si>
  <si>
    <r>
      <rPr>
        <sz val="9"/>
        <color rgb="FF1D1D1F"/>
        <rFont val="Noto Sans CJK SC"/>
        <family val="2"/>
      </rPr>
      <t xml:space="preserve">지표명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방향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주기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시작값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올해 목표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단위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작년이 표로 보인다</t>
    </r>
  </si>
  <si>
    <t xml:space="preserve">보완 요청</t>
  </si>
  <si>
    <r>
      <rPr>
        <sz val="9"/>
        <color rgb="FF1D1D1F"/>
        <rFont val="Noto Sans CJK SC"/>
        <family val="2"/>
      </rPr>
      <t xml:space="preserve">사유를 적어 보낼 수 있고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상태가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보완 요청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으로 바뀐다</t>
    </r>
  </si>
  <si>
    <t xml:space="preserve">목록</t>
  </si>
  <si>
    <t xml:space="preserve">보완 사유 표시</t>
  </si>
  <si>
    <t xml:space="preserve">상태칸 아래에 보완 사유가 보인다</t>
  </si>
  <si>
    <t xml:space="preserve">합의</t>
  </si>
  <si>
    <t xml:space="preserve">합의하면 지주사 확정 대기 상태가 된다</t>
  </si>
  <si>
    <t xml:space="preserve">목표 상세 위</t>
  </si>
  <si>
    <t xml:space="preserve">지금 할 일 문구</t>
  </si>
  <si>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지주사의 최종 확정을 기다리는 중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이라고 적혀 있다</t>
    </r>
  </si>
  <si>
    <t xml:space="preserve">제출취소 단추</t>
  </si>
  <si>
    <t xml:space="preserve">단추가 보이고 눌린다</t>
  </si>
  <si>
    <t xml:space="preserve">취소 후 상태</t>
  </si>
  <si>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검토 중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으로 되돌아간다</t>
    </r>
  </si>
  <si>
    <r>
      <rPr>
        <sz val="9"/>
        <color rgb="FF1D1D1F"/>
        <rFont val="Noto Sans CJK SC"/>
        <family val="2"/>
      </rPr>
      <t xml:space="preserve">검토 </t>
    </r>
    <r>
      <rPr>
        <sz val="9"/>
        <color rgb="FF1D1D1F"/>
        <rFont val="맑은 고딕"/>
        <family val="0"/>
        <charset val="1"/>
      </rPr>
      <t xml:space="preserve">· </t>
    </r>
    <r>
      <rPr>
        <sz val="9"/>
        <color rgb="FF1D1D1F"/>
        <rFont val="Noto Sans CJK SC"/>
        <family val="2"/>
      </rPr>
      <t xml:space="preserve">합의 이력</t>
    </r>
  </si>
  <si>
    <t xml:space="preserve">기록</t>
  </si>
  <si>
    <r>
      <rPr>
        <sz val="9"/>
        <color rgb="FF1D1D1F"/>
        <rFont val="Noto Sans CJK SC"/>
        <family val="2"/>
      </rPr>
      <t xml:space="preserve">제출취소 기록이 날짜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이름과 함께 남아 있다</t>
    </r>
  </si>
  <si>
    <t xml:space="preserve">기본 탭</t>
  </si>
  <si>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이번 기간 입력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탭이 먼저 열린다</t>
    </r>
  </si>
  <si>
    <t xml:space="preserve">묶음</t>
  </si>
  <si>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마감이 지난 칸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과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이번 기간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으로 나뉘어 있다</t>
    </r>
  </si>
  <si>
    <t xml:space="preserve">저장 알림</t>
  </si>
  <si>
    <r>
      <rPr>
        <sz val="9"/>
        <color rgb="FF1D1D1F"/>
        <rFont val="Noto Sans CJK SC"/>
        <family val="2"/>
      </rPr>
      <t xml:space="preserve">화면 모서리에 잠깐 떴다 사라진다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확인을 눌러야 하는 창이 아니다</t>
    </r>
    <r>
      <rPr>
        <sz val="9"/>
        <color rgb="FF1D1D1F"/>
        <rFont val="맑은 고딕"/>
        <family val="0"/>
        <charset val="1"/>
      </rPr>
      <t xml:space="preserve">)</t>
    </r>
  </si>
  <si>
    <t xml:space="preserve">한 해 전체 보기</t>
  </si>
  <si>
    <t xml:space="preserve">엑셀 붙여넣기</t>
  </si>
  <si>
    <r>
      <rPr>
        <sz val="9"/>
        <color rgb="FF1D1D1F"/>
        <rFont val="Noto Sans CJK SC"/>
        <family val="2"/>
      </rPr>
      <t xml:space="preserve">세로로 복사한 숫자 </t>
    </r>
    <r>
      <rPr>
        <sz val="9"/>
        <color rgb="FF1D1D1F"/>
        <rFont val="맑은 고딕"/>
        <family val="0"/>
        <charset val="1"/>
      </rPr>
      <t xml:space="preserve">3</t>
    </r>
    <r>
      <rPr>
        <sz val="9"/>
        <color rgb="FF1D1D1F"/>
        <rFont val="Noto Sans CJK SC"/>
        <family val="2"/>
      </rPr>
      <t xml:space="preserve">개를 한 칸에 붙여넣으면 아래로 </t>
    </r>
    <r>
      <rPr>
        <sz val="9"/>
        <color rgb="FF1D1D1F"/>
        <rFont val="맑은 고딕"/>
        <family val="0"/>
        <charset val="1"/>
      </rPr>
      <t xml:space="preserve">3</t>
    </r>
    <r>
      <rPr>
        <sz val="9"/>
        <color rgb="FF1D1D1F"/>
        <rFont val="Noto Sans CJK SC"/>
        <family val="2"/>
      </rPr>
      <t xml:space="preserve">칸이 채워진다</t>
    </r>
  </si>
  <si>
    <t xml:space="preserve">붙여넣기 결과 알림</t>
  </si>
  <si>
    <t xml:space="preserve">몇 칸이 채워졌는지 알려준다</t>
  </si>
  <si>
    <t xml:space="preserve">키보드 이동</t>
  </si>
  <si>
    <r>
      <rPr>
        <sz val="9"/>
        <color rgb="FF1D1D1F"/>
        <rFont val="맑은 고딕"/>
        <family val="0"/>
        <charset val="1"/>
      </rPr>
      <t xml:space="preserve">Enter </t>
    </r>
    <r>
      <rPr>
        <sz val="9"/>
        <color rgb="FF1D1D1F"/>
        <rFont val="Noto Sans CJK SC"/>
        <family val="2"/>
      </rPr>
      <t xml:space="preserve">와 ↓ 로 아래 칸</t>
    </r>
    <r>
      <rPr>
        <sz val="9"/>
        <color rgb="FF1D1D1F"/>
        <rFont val="맑은 고딕"/>
        <family val="0"/>
        <charset val="1"/>
      </rPr>
      <t xml:space="preserve">, ↑ </t>
    </r>
    <r>
      <rPr>
        <sz val="9"/>
        <color rgb="FF1D1D1F"/>
        <rFont val="Noto Sans CJK SC"/>
        <family val="2"/>
      </rPr>
      <t xml:space="preserve">로 위 칸으로 옮겨진다</t>
    </r>
  </si>
  <si>
    <t xml:space="preserve">목표 상세 맨 위</t>
  </si>
  <si>
    <t xml:space="preserve">길잡이</t>
  </si>
  <si>
    <r>
      <rPr>
        <sz val="9"/>
        <color rgb="FF1D1D1F"/>
        <rFont val="Noto Sans CJK SC"/>
        <family val="2"/>
      </rPr>
      <t xml:space="preserve">사업계획 › 강원심층수 › 사업부 › </t>
    </r>
    <r>
      <rPr>
        <sz val="9"/>
        <color rgb="FF1D1D1F"/>
        <rFont val="맑은 고딕"/>
        <family val="0"/>
        <charset val="1"/>
      </rPr>
      <t xml:space="preserve">N</t>
    </r>
    <r>
      <rPr>
        <sz val="9"/>
        <color rgb="FF1D1D1F"/>
        <rFont val="Noto Sans CJK SC"/>
        <family val="2"/>
      </rPr>
      <t xml:space="preserve">번 형태로 나온다</t>
    </r>
  </si>
  <si>
    <r>
      <rPr>
        <b val="true"/>
        <sz val="9"/>
        <color rgb="FF1D1D1F"/>
        <rFont val="Noto Sans CJK SC"/>
        <family val="2"/>
      </rPr>
      <t xml:space="preserve">요약 </t>
    </r>
    <r>
      <rPr>
        <b val="true"/>
        <sz val="9"/>
        <color rgb="FF1D1D1F"/>
        <rFont val="맑은 고딕"/>
        <family val="0"/>
        <charset val="1"/>
      </rPr>
      <t xml:space="preserve">4</t>
    </r>
    <r>
      <rPr>
        <b val="true"/>
        <sz val="9"/>
        <color rgb="FF1D1D1F"/>
        <rFont val="Noto Sans CJK SC"/>
        <family val="2"/>
      </rPr>
      <t xml:space="preserve">칸</t>
    </r>
  </si>
  <si>
    <r>
      <rPr>
        <sz val="9"/>
        <color rgb="FF1D1D1F"/>
        <rFont val="Noto Sans CJK SC"/>
        <family val="2"/>
      </rPr>
      <t xml:space="preserve">달성률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핵심지표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실적 입력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마감 지난 미입력 네 칸이 지표 카드보다 위에 있다</t>
    </r>
  </si>
  <si>
    <r>
      <rPr>
        <sz val="9"/>
        <color rgb="FF1D1D1F"/>
        <rFont val="Noto Sans CJK SC"/>
        <family val="2"/>
      </rPr>
      <t xml:space="preserve">요약 </t>
    </r>
    <r>
      <rPr>
        <sz val="9"/>
        <color rgb="FF1D1D1F"/>
        <rFont val="맑은 고딕"/>
        <family val="0"/>
        <charset val="1"/>
      </rPr>
      <t xml:space="preserve">4</t>
    </r>
    <r>
      <rPr>
        <sz val="9"/>
        <color rgb="FF1D1D1F"/>
        <rFont val="Noto Sans CJK SC"/>
        <family val="2"/>
      </rPr>
      <t xml:space="preserve">칸</t>
    </r>
  </si>
  <si>
    <t xml:space="preserve">달성률 설명</t>
  </si>
  <si>
    <r>
      <rPr>
        <sz val="9"/>
        <color rgb="FF1D1D1F"/>
        <rFont val="Noto Sans CJK SC"/>
        <family val="2"/>
      </rPr>
      <t xml:space="preserve">달성률 아래에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지표 </t>
    </r>
    <r>
      <rPr>
        <sz val="9"/>
        <color rgb="FF1D1D1F"/>
        <rFont val="맑은 고딕"/>
        <family val="0"/>
        <charset val="1"/>
      </rPr>
      <t xml:space="preserve">N</t>
    </r>
    <r>
      <rPr>
        <sz val="9"/>
        <color rgb="FF1D1D1F"/>
        <rFont val="Noto Sans CJK SC"/>
        <family val="2"/>
      </rPr>
      <t xml:space="preserve">개 평균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이라고 적혀 있다</t>
    </r>
  </si>
  <si>
    <r>
      <rPr>
        <b val="true"/>
        <sz val="9"/>
        <color rgb="FF1D1D1F"/>
        <rFont val="맑은 고딕"/>
        <family val="0"/>
        <charset val="1"/>
      </rPr>
      <t xml:space="preserve">SMART </t>
    </r>
    <r>
      <rPr>
        <b val="true"/>
        <sz val="9"/>
        <color rgb="FF1D1D1F"/>
        <rFont val="Noto Sans CJK SC"/>
        <family val="2"/>
      </rPr>
      <t xml:space="preserve">접힘</t>
    </r>
  </si>
  <si>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목표 내용 </t>
    </r>
    <r>
      <rPr>
        <sz val="9"/>
        <color rgb="FF1D1D1F"/>
        <rFont val="맑은 고딕"/>
        <family val="0"/>
        <charset val="1"/>
      </rPr>
      <t xml:space="preserve">(SMART)'</t>
    </r>
    <r>
      <rPr>
        <sz val="9"/>
        <color rgb="FF1D1D1F"/>
        <rFont val="Noto Sans CJK SC"/>
        <family val="2"/>
      </rPr>
      <t xml:space="preserve">이 접혀 있고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눌러서 펼칠 수 있다</t>
    </r>
  </si>
  <si>
    <t xml:space="preserve">행동 단추</t>
  </si>
  <si>
    <t xml:space="preserve">지금 할 일 하나만 진한 단추이고 나머지는 연한 단추다</t>
  </si>
  <si>
    <t xml:space="preserve">변경 이력</t>
  </si>
  <si>
    <t xml:space="preserve">자동 기록</t>
  </si>
  <si>
    <r>
      <rPr>
        <sz val="9"/>
        <color rgb="FF1D1D1F"/>
        <rFont val="Noto Sans CJK SC"/>
        <family val="2"/>
      </rPr>
      <t xml:space="preserve">앞서 내가 바꾼 내용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상태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목표값 등</t>
    </r>
    <r>
      <rPr>
        <sz val="9"/>
        <color rgb="FF1D1D1F"/>
        <rFont val="맑은 고딕"/>
        <family val="0"/>
        <charset val="1"/>
      </rPr>
      <t xml:space="preserve">)</t>
    </r>
    <r>
      <rPr>
        <sz val="9"/>
        <color rgb="FF1D1D1F"/>
        <rFont val="Noto Sans CJK SC"/>
        <family val="2"/>
      </rPr>
      <t xml:space="preserve">이 날짜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이름과 함께 남아 있다</t>
    </r>
  </si>
  <si>
    <t xml:space="preserve">장민경</t>
  </si>
  <si>
    <r>
      <rPr>
        <sz val="9"/>
        <color rgb="FF1D1D1F"/>
        <rFont val="Noto Sans CJK SC"/>
        <family val="2"/>
      </rPr>
      <t xml:space="preserve">대교</t>
    </r>
    <r>
      <rPr>
        <sz val="9"/>
        <color rgb="FF1D1D1F"/>
        <rFont val="맑은 고딕"/>
        <family val="0"/>
        <charset val="1"/>
      </rPr>
      <t xml:space="preserve">D&amp;S</t>
    </r>
  </si>
  <si>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대교</t>
    </r>
    <r>
      <rPr>
        <sz val="9"/>
        <color rgb="FF1D1D1F"/>
        <rFont val="맑은 고딕"/>
        <family val="0"/>
        <charset val="1"/>
      </rPr>
      <t xml:space="preserve">D&amp;S'</t>
    </r>
    <r>
      <rPr>
        <sz val="9"/>
        <color rgb="FF1D1D1F"/>
        <rFont val="Noto Sans CJK SC"/>
        <family val="2"/>
      </rPr>
      <t xml:space="preserve">만 있다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다른 계열사는 고를 수 없다</t>
    </r>
  </si>
  <si>
    <r>
      <rPr>
        <sz val="9"/>
        <color rgb="FF1D1D1F"/>
        <rFont val="Noto Sans CJK SC"/>
        <family val="2"/>
      </rPr>
      <t xml:space="preserve">대교</t>
    </r>
    <r>
      <rPr>
        <sz val="9"/>
        <color rgb="FF1D1D1F"/>
        <rFont val="맑은 고딕"/>
        <family val="0"/>
        <charset val="1"/>
      </rPr>
      <t xml:space="preserve">D&amp;S </t>
    </r>
    <r>
      <rPr>
        <sz val="9"/>
        <color rgb="FF1D1D1F"/>
        <rFont val="Noto Sans CJK SC"/>
        <family val="2"/>
      </rPr>
      <t xml:space="preserve">목표만 나온다</t>
    </r>
  </si>
  <si>
    <t xml:space="preserve">전체 보기 토글</t>
  </si>
  <si>
    <t xml:space="preserve">켜면 작성 중 목표까지 포함돼 숫자가 커진다</t>
  </si>
  <si>
    <t xml:space="preserve">토글 끄기</t>
  </si>
  <si>
    <t xml:space="preserve">끄면 확정된 목표 기준 숫자로 되돌아간다</t>
  </si>
  <si>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작성 중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조각을 누르면 작성 중 목표 목록이 열린다</t>
    </r>
  </si>
  <si>
    <t xml:space="preserve">막대 그래프</t>
  </si>
  <si>
    <t xml:space="preserve">막대 클릭</t>
  </si>
  <si>
    <t xml:space="preserve">사업부 막대를 누르면 그 사업부로 걸러진 목록이 열린다</t>
  </si>
  <si>
    <t xml:space="preserve">골프장이 이어지는 줄에서 두 번째 줄부터 사업부 칸이 비어 있다</t>
  </si>
  <si>
    <r>
      <rPr>
        <sz val="9"/>
        <color rgb="FF1D1D1F"/>
        <rFont val="맑은 고딕"/>
        <family val="0"/>
        <charset val="1"/>
      </rPr>
      <t xml:space="preserve">S·M·A·R·T</t>
    </r>
    <r>
      <rPr>
        <sz val="9"/>
        <color rgb="FF1D1D1F"/>
        <rFont val="Noto Sans CJK SC"/>
        <family val="2"/>
      </rPr>
      <t xml:space="preserve">가 세로로 한 줄씩 쌓여 있다</t>
    </r>
  </si>
  <si>
    <r>
      <rPr>
        <b val="true"/>
        <sz val="9"/>
        <color rgb="FF1D1D1F"/>
        <rFont val="Noto Sans CJK SC"/>
        <family val="2"/>
      </rPr>
      <t xml:space="preserve">요약 </t>
    </r>
    <r>
      <rPr>
        <b val="true"/>
        <sz val="9"/>
        <color rgb="FF1D1D1F"/>
        <rFont val="맑은 고딕"/>
        <family val="0"/>
        <charset val="1"/>
      </rPr>
      <t xml:space="preserve">4</t>
    </r>
    <r>
      <rPr>
        <b val="true"/>
        <sz val="9"/>
        <color rgb="FF1D1D1F"/>
        <rFont val="Noto Sans CJK SC"/>
        <family val="2"/>
      </rPr>
      <t xml:space="preserve">칸 위치</t>
    </r>
  </si>
  <si>
    <t xml:space="preserve">지표 카드보다 위에 있다</t>
  </si>
  <si>
    <t xml:space="preserve">핵심지표 개수</t>
  </si>
  <si>
    <t xml:space="preserve">실제 지표 개수와 같다</t>
  </si>
  <si>
    <t xml:space="preserve">목표값 미설정</t>
  </si>
  <si>
    <t xml:space="preserve">목표값이 빈 지표가 있으면 몇 개인지 알려준다</t>
  </si>
  <si>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지표 </t>
    </r>
    <r>
      <rPr>
        <sz val="9"/>
        <color rgb="FF1D1D1F"/>
        <rFont val="맑은 고딕"/>
        <family val="0"/>
        <charset val="1"/>
      </rPr>
      <t xml:space="preserve">N</t>
    </r>
    <r>
      <rPr>
        <sz val="9"/>
        <color rgb="FF1D1D1F"/>
        <rFont val="Noto Sans CJK SC"/>
        <family val="2"/>
      </rPr>
      <t xml:space="preserve">개 평균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이라고 적혀 있다</t>
    </r>
  </si>
  <si>
    <t xml:space="preserve">달성률 값</t>
  </si>
  <si>
    <t xml:space="preserve">지표 카드의 달성률을 직접 평균 낸 값과 같다</t>
  </si>
  <si>
    <t xml:space="preserve">마감 지난 미입력</t>
  </si>
  <si>
    <r>
      <rPr>
        <sz val="9"/>
        <color rgb="FF1D1D1F"/>
        <rFont val="Noto Sans CJK SC"/>
        <family val="2"/>
      </rPr>
      <t xml:space="preserve">밀린 입력이 있으면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지금 입력</t>
    </r>
    <r>
      <rPr>
        <sz val="9"/>
        <color rgb="FF1D1D1F"/>
        <rFont val="맑은 고딕"/>
        <family val="0"/>
        <charset val="1"/>
      </rPr>
      <t xml:space="preserve">' </t>
    </r>
    <r>
      <rPr>
        <sz val="9"/>
        <color rgb="FF1D1D1F"/>
        <rFont val="Noto Sans CJK SC"/>
        <family val="2"/>
      </rPr>
      <t xml:space="preserve">링크가 같이 있다</t>
    </r>
  </si>
  <si>
    <t xml:space="preserve">분기별 목표 나누기</t>
  </si>
  <si>
    <r>
      <rPr>
        <sz val="9"/>
        <color rgb="FF1D1D1F"/>
        <rFont val="Noto Sans CJK SC"/>
        <family val="2"/>
      </rPr>
      <t xml:space="preserve">주기를 분기별로 하면 입력칸이 </t>
    </r>
    <r>
      <rPr>
        <sz val="9"/>
        <color rgb="FF1D1D1F"/>
        <rFont val="맑은 고딕"/>
        <family val="0"/>
        <charset val="1"/>
      </rPr>
      <t xml:space="preserve">4</t>
    </r>
    <r>
      <rPr>
        <sz val="9"/>
        <color rgb="FF1D1D1F"/>
        <rFont val="Noto Sans CJK SC"/>
        <family val="2"/>
      </rPr>
      <t xml:space="preserve">개가 되고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연간 목표값을 </t>
    </r>
    <r>
      <rPr>
        <sz val="9"/>
        <color rgb="FF1D1D1F"/>
        <rFont val="맑은 고딕"/>
        <family val="0"/>
        <charset val="1"/>
      </rPr>
      <t xml:space="preserve">4</t>
    </r>
    <r>
      <rPr>
        <sz val="9"/>
        <color rgb="FF1D1D1F"/>
        <rFont val="Noto Sans CJK SC"/>
        <family val="2"/>
      </rPr>
      <t xml:space="preserve">칸으로 나눌 수 있다</t>
    </r>
  </si>
  <si>
    <t xml:space="preserve">새 목표 반영</t>
  </si>
  <si>
    <r>
      <rPr>
        <sz val="9"/>
        <color rgb="FF1D1D1F"/>
        <rFont val="Noto Sans CJK SC"/>
        <family val="2"/>
      </rPr>
      <t xml:space="preserve">방금 제출한 목표가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검토할 차례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로 올라온다</t>
    </r>
  </si>
  <si>
    <t xml:space="preserve">목표값이 빈 지표가 표에 그대로 보인다</t>
  </si>
  <si>
    <t xml:space="preserve">합의 단추</t>
  </si>
  <si>
    <r>
      <rPr>
        <sz val="9"/>
        <color rgb="FF1D1D1F"/>
        <rFont val="Noto Sans CJK SC"/>
        <family val="2"/>
      </rPr>
      <t xml:space="preserve">눌리지 않는다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비활성</t>
    </r>
    <r>
      <rPr>
        <sz val="9"/>
        <color rgb="FF1D1D1F"/>
        <rFont val="맑은 고딕"/>
        <family val="0"/>
        <charset val="1"/>
      </rPr>
      <t xml:space="preserve">)</t>
    </r>
  </si>
  <si>
    <t xml:space="preserve">막힌 사유</t>
  </si>
  <si>
    <t xml:space="preserve">왜 합의할 수 없는지 화면에 적혀 있다</t>
  </si>
  <si>
    <t xml:space="preserve">경고와 구분</t>
  </si>
  <si>
    <t xml:space="preserve">숫자가 어긋나는 정도는 경고로만 뜨고 합의를 막지 않는다</t>
  </si>
  <si>
    <t xml:space="preserve">목표값 채운 뒤</t>
  </si>
  <si>
    <t xml:space="preserve">목표값을 채우면 합의 단추가 눌린다</t>
  </si>
  <si>
    <t xml:space="preserve">지표 고르기</t>
  </si>
  <si>
    <t xml:space="preserve">어느 지표에 대한 보완 요청인지 고를 수 있다</t>
  </si>
  <si>
    <t xml:space="preserve">보완 사유</t>
  </si>
  <si>
    <t xml:space="preserve">지표명 자동 표기</t>
  </si>
  <si>
    <r>
      <rPr>
        <sz val="9"/>
        <color rgb="FF1D1D1F"/>
        <rFont val="Noto Sans CJK SC"/>
        <family val="2"/>
      </rPr>
      <t xml:space="preserve">사유 앞에 </t>
    </r>
    <r>
      <rPr>
        <sz val="9"/>
        <color rgb="FF1D1D1F"/>
        <rFont val="맑은 고딕"/>
        <family val="0"/>
        <charset val="1"/>
      </rPr>
      <t xml:space="preserve">[</t>
    </r>
    <r>
      <rPr>
        <sz val="9"/>
        <color rgb="FF1D1D1F"/>
        <rFont val="Noto Sans CJK SC"/>
        <family val="2"/>
      </rPr>
      <t xml:space="preserve">지표명</t>
    </r>
    <r>
      <rPr>
        <sz val="9"/>
        <color rgb="FF1D1D1F"/>
        <rFont val="맑은 고딕"/>
        <family val="0"/>
        <charset val="1"/>
      </rPr>
      <t xml:space="preserve">]</t>
    </r>
    <r>
      <rPr>
        <sz val="9"/>
        <color rgb="FF1D1D1F"/>
        <rFont val="Noto Sans CJK SC"/>
        <family val="2"/>
      </rPr>
      <t xml:space="preserve">이 붙는다</t>
    </r>
  </si>
  <si>
    <t xml:space="preserve">사유 표시</t>
  </si>
  <si>
    <t xml:space="preserve">이력 자동 펼침</t>
  </si>
  <si>
    <r>
      <rPr>
        <sz val="9"/>
        <color rgb="FF1D1D1F"/>
        <rFont val="Noto Sans CJK SC"/>
        <family val="2"/>
      </rPr>
      <t xml:space="preserve">보완 요청 상태면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검토 </t>
    </r>
    <r>
      <rPr>
        <sz val="9"/>
        <color rgb="FF1D1D1F"/>
        <rFont val="맑은 고딕"/>
        <family val="0"/>
        <charset val="1"/>
      </rPr>
      <t xml:space="preserve">· </t>
    </r>
    <r>
      <rPr>
        <sz val="9"/>
        <color rgb="FF1D1D1F"/>
        <rFont val="Noto Sans CJK SC"/>
        <family val="2"/>
      </rPr>
      <t xml:space="preserve">합의 이력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 펼쳐진 채로 열린다</t>
    </r>
  </si>
  <si>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보완 요청을 받았습니다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처럼 할 일이 한 문장으로 적혀 있다</t>
    </r>
  </si>
  <si>
    <r>
      <rPr>
        <b val="true"/>
        <sz val="9"/>
        <color rgb="FF1D1D1F"/>
        <rFont val="맑은 고딕"/>
        <family val="0"/>
        <charset val="1"/>
      </rPr>
      <t xml:space="preserve">3</t>
    </r>
    <r>
      <rPr>
        <b val="true"/>
        <sz val="9"/>
        <color rgb="FF1D1D1F"/>
        <rFont val="Noto Sans CJK SC"/>
        <family val="2"/>
      </rPr>
      <t xml:space="preserve">단 구조</t>
    </r>
  </si>
  <si>
    <r>
      <rPr>
        <sz val="9"/>
        <color rgb="FF1D1D1F"/>
        <rFont val="Noto Sans CJK SC"/>
        <family val="2"/>
      </rPr>
      <t xml:space="preserve">회사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사업부 </t>
    </r>
    <r>
      <rPr>
        <sz val="9"/>
        <color rgb="FF1D1D1F"/>
        <rFont val="맑은 고딕"/>
        <family val="0"/>
        <charset val="1"/>
      </rPr>
      <t xml:space="preserve">/ </t>
    </r>
    <r>
      <rPr>
        <sz val="9"/>
        <color rgb="FF1D1D1F"/>
        <rFont val="Noto Sans CJK SC"/>
        <family val="2"/>
      </rPr>
      <t xml:space="preserve">목표 세 칸으로 나뉘어 있다</t>
    </r>
  </si>
  <si>
    <t xml:space="preserve">회사 칸</t>
  </si>
  <si>
    <r>
      <rPr>
        <sz val="9"/>
        <color rgb="FF1D1D1F"/>
        <rFont val="Noto Sans CJK SC"/>
        <family val="2"/>
      </rPr>
      <t xml:space="preserve">회사가 하나뿐이어도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대교</t>
    </r>
    <r>
      <rPr>
        <sz val="9"/>
        <color rgb="FF1D1D1F"/>
        <rFont val="맑은 고딕"/>
        <family val="0"/>
        <charset val="1"/>
      </rPr>
      <t xml:space="preserve">D&amp;S' </t>
    </r>
    <r>
      <rPr>
        <sz val="9"/>
        <color rgb="FF1D1D1F"/>
        <rFont val="Noto Sans CJK SC"/>
        <family val="2"/>
      </rPr>
      <t xml:space="preserve">칸이 나온다</t>
    </r>
  </si>
  <si>
    <t xml:space="preserve">목표 고르기</t>
  </si>
  <si>
    <t xml:space="preserve">사업부를 고르면 그 사업부 목표만 세 번째 칸에 나온다</t>
  </si>
  <si>
    <t xml:space="preserve">입력표</t>
  </si>
  <si>
    <t xml:space="preserve">분기 지표</t>
  </si>
  <si>
    <r>
      <rPr>
        <sz val="9"/>
        <color rgb="FF1D1D1F"/>
        <rFont val="Noto Sans CJK SC"/>
        <family val="2"/>
      </rPr>
      <t xml:space="preserve">입력칸이 </t>
    </r>
    <r>
      <rPr>
        <sz val="9"/>
        <color rgb="FF1D1D1F"/>
        <rFont val="맑은 고딕"/>
        <family val="0"/>
        <charset val="1"/>
      </rPr>
      <t xml:space="preserve">4</t>
    </r>
    <r>
      <rPr>
        <sz val="9"/>
        <color rgb="FF1D1D1F"/>
        <rFont val="Noto Sans CJK SC"/>
        <family val="2"/>
      </rPr>
      <t xml:space="preserve">개다</t>
    </r>
  </si>
  <si>
    <t xml:space="preserve">월별 지표</t>
  </si>
  <si>
    <r>
      <rPr>
        <sz val="9"/>
        <color rgb="FF1D1D1F"/>
        <rFont val="Noto Sans CJK SC"/>
        <family val="2"/>
      </rPr>
      <t xml:space="preserve">입력칸이 </t>
    </r>
    <r>
      <rPr>
        <sz val="9"/>
        <color rgb="FF1D1D1F"/>
        <rFont val="맑은 고딕"/>
        <family val="0"/>
        <charset val="1"/>
      </rPr>
      <t xml:space="preserve">12</t>
    </r>
    <r>
      <rPr>
        <sz val="9"/>
        <color rgb="FF1D1D1F"/>
        <rFont val="Noto Sans CJK SC"/>
        <family val="2"/>
      </rPr>
      <t xml:space="preserve">개다</t>
    </r>
  </si>
  <si>
    <t xml:space="preserve">저장</t>
  </si>
  <si>
    <t xml:space="preserve">값을 넣고 칸 밖을 누르면 저장되고 모서리에 알림이 뜬다</t>
  </si>
  <si>
    <t xml:space="preserve">변경요청 단추</t>
  </si>
  <si>
    <t xml:space="preserve">확정된 목표에만 보인다</t>
  </si>
  <si>
    <t xml:space="preserve">변경요청 목록</t>
  </si>
  <si>
    <r>
      <rPr>
        <b val="true"/>
        <sz val="9"/>
        <color rgb="FF1D1D1F"/>
        <rFont val="Noto Sans CJK SC"/>
        <family val="2"/>
      </rPr>
      <t xml:space="preserve">변경 전</t>
    </r>
    <r>
      <rPr>
        <b val="true"/>
        <sz val="9"/>
        <color rgb="FF1D1D1F"/>
        <rFont val="맑은 고딕"/>
        <family val="0"/>
        <charset val="1"/>
      </rPr>
      <t xml:space="preserve">·</t>
    </r>
    <r>
      <rPr>
        <b val="true"/>
        <sz val="9"/>
        <color rgb="FF1D1D1F"/>
        <rFont val="Noto Sans CJK SC"/>
        <family val="2"/>
      </rPr>
      <t xml:space="preserve">후</t>
    </r>
  </si>
  <si>
    <t xml:space="preserve">바뀌기 전 값과 바뀐 뒤 값이 나란히 보인다</t>
  </si>
  <si>
    <t xml:space="preserve">증감</t>
  </si>
  <si>
    <r>
      <rPr>
        <sz val="9"/>
        <color rgb="FF1D1D1F"/>
        <rFont val="Noto Sans CJK SC"/>
        <family val="2"/>
      </rPr>
      <t xml:space="preserve">얼마나 늘고 주는지 숫자와 퍼센트로 보인다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예</t>
    </r>
    <r>
      <rPr>
        <sz val="9"/>
        <color rgb="FF1D1D1F"/>
        <rFont val="맑은 고딕"/>
        <family val="0"/>
        <charset val="1"/>
      </rPr>
      <t xml:space="preserve">: +300 (+30%))</t>
    </r>
  </si>
  <si>
    <t xml:space="preserve">영향</t>
  </si>
  <si>
    <t xml:space="preserve">바꾸면 달성률이 어떻게 되는지 알려준다</t>
  </si>
  <si>
    <t xml:space="preserve">사유</t>
  </si>
  <si>
    <r>
      <rPr>
        <sz val="9"/>
        <color rgb="FF1D1D1F"/>
        <rFont val="Noto Sans CJK SC"/>
        <family val="2"/>
      </rPr>
      <t xml:space="preserve">사유를 비워도 올릴 수 있다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권장이지 필수는 아님</t>
    </r>
    <r>
      <rPr>
        <sz val="9"/>
        <color rgb="FF1D1D1F"/>
        <rFont val="맑은 고딕"/>
        <family val="0"/>
        <charset val="1"/>
      </rPr>
      <t xml:space="preserve">)</t>
    </r>
  </si>
  <si>
    <t xml:space="preserve">정렬</t>
  </si>
  <si>
    <t xml:space="preserve">처리 대기 중인 건이 위에 있고 처리된 건은 아래에 접혀 있다</t>
  </si>
  <si>
    <t xml:space="preserve">확정 목표 상세</t>
  </si>
  <si>
    <t xml:space="preserve">수정 단추</t>
  </si>
  <si>
    <t xml:space="preserve">보이지 않는다</t>
  </si>
  <si>
    <t xml:space="preserve">삭제 단추</t>
  </si>
  <si>
    <t xml:space="preserve">작성 중 목표 상세</t>
  </si>
  <si>
    <r>
      <rPr>
        <b val="true"/>
        <sz val="9"/>
        <color rgb="FF1D1D1F"/>
        <rFont val="Noto Sans CJK SC"/>
        <family val="2"/>
      </rPr>
      <t xml:space="preserve">수정</t>
    </r>
    <r>
      <rPr>
        <b val="true"/>
        <sz val="9"/>
        <color rgb="FF1D1D1F"/>
        <rFont val="맑은 고딕"/>
        <family val="0"/>
        <charset val="1"/>
      </rPr>
      <t xml:space="preserve">·</t>
    </r>
    <r>
      <rPr>
        <b val="true"/>
        <sz val="9"/>
        <color rgb="FF1D1D1F"/>
        <rFont val="Noto Sans CJK SC"/>
        <family val="2"/>
      </rPr>
      <t xml:space="preserve">삭제</t>
    </r>
  </si>
  <si>
    <t xml:space="preserve">둘 다 보인다</t>
  </si>
  <si>
    <t xml:space="preserve">단추 차이</t>
  </si>
  <si>
    <t xml:space="preserve">확정된 줄과 작성 중 줄의 단추가 다르게 나온다</t>
  </si>
  <si>
    <t xml:space="preserve">주소 직접 입력</t>
  </si>
  <si>
    <t xml:space="preserve">다른 회사 목표</t>
  </si>
  <si>
    <r>
      <rPr>
        <sz val="9"/>
        <color rgb="FF1D1D1F"/>
        <rFont val="Noto Sans CJK SC"/>
        <family val="2"/>
      </rPr>
      <t xml:space="preserve">열리지 않거나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불러올 수 없습니다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가 뜬다</t>
    </r>
  </si>
  <si>
    <t xml:space="preserve">설정 메뉴</t>
  </si>
  <si>
    <t xml:space="preserve">보이는 항목</t>
  </si>
  <si>
    <r>
      <rPr>
        <sz val="9"/>
        <color rgb="FF1D1D1F"/>
        <rFont val="Noto Sans CJK SC"/>
        <family val="2"/>
      </rPr>
      <t xml:space="preserve">계열사 관리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계정 관리 같은 지주사 전용 항목은 보이지 않는다</t>
    </r>
  </si>
  <si>
    <t xml:space="preserve">업무</t>
  </si>
  <si>
    <r>
      <rPr>
        <sz val="9"/>
        <color rgb="FF1D1D1F"/>
        <rFont val="Noto Sans CJK SC"/>
        <family val="2"/>
      </rPr>
      <t xml:space="preserve">목표 작성 </t>
    </r>
    <r>
      <rPr>
        <sz val="9"/>
        <color rgb="FF1D1D1F"/>
        <rFont val="맑은 고딕"/>
        <family val="0"/>
        <charset val="1"/>
      </rPr>
      <t xml:space="preserve">1</t>
    </r>
    <r>
      <rPr>
        <sz val="9"/>
        <color rgb="FF1D1D1F"/>
        <rFont val="Noto Sans CJK SC"/>
        <family val="2"/>
      </rPr>
      <t xml:space="preserve">단계</t>
    </r>
  </si>
  <si>
    <t xml:space="preserve">사업부 선택</t>
  </si>
  <si>
    <t xml:space="preserve">본인 회사의 사업부만 고를 수 있다</t>
  </si>
  <si>
    <t xml:space="preserve">전략 이름</t>
  </si>
  <si>
    <t xml:space="preserve">적은 이름이 목록에 한 줄로 그대로 나온다</t>
  </si>
  <si>
    <t xml:space="preserve">단계 이동</t>
  </si>
  <si>
    <r>
      <rPr>
        <sz val="9"/>
        <color rgb="FF1D1D1F"/>
        <rFont val="맑은 고딕"/>
        <family val="0"/>
        <charset val="1"/>
      </rPr>
      <t xml:space="preserve">2</t>
    </r>
    <r>
      <rPr>
        <sz val="9"/>
        <color rgb="FF1D1D1F"/>
        <rFont val="Noto Sans CJK SC"/>
        <family val="2"/>
      </rPr>
      <t xml:space="preserve">단계를 건너뛰고 </t>
    </r>
    <r>
      <rPr>
        <sz val="9"/>
        <color rgb="FF1D1D1F"/>
        <rFont val="맑은 고딕"/>
        <family val="0"/>
        <charset val="1"/>
      </rPr>
      <t xml:space="preserve">3</t>
    </r>
    <r>
      <rPr>
        <sz val="9"/>
        <color rgb="FF1D1D1F"/>
        <rFont val="Noto Sans CJK SC"/>
        <family val="2"/>
      </rPr>
      <t xml:space="preserve">단계로 갈 수 있다</t>
    </r>
  </si>
  <si>
    <r>
      <rPr>
        <b val="true"/>
        <sz val="9"/>
        <color rgb="FF1D1D1F"/>
        <rFont val="맑은 고딕"/>
        <family val="0"/>
        <charset val="1"/>
      </rPr>
      <t xml:space="preserve">SMART </t>
    </r>
    <r>
      <rPr>
        <b val="true"/>
        <sz val="9"/>
        <color rgb="FF1D1D1F"/>
        <rFont val="Noto Sans CJK SC"/>
        <family val="2"/>
      </rPr>
      <t xml:space="preserve">안내</t>
    </r>
  </si>
  <si>
    <t xml:space="preserve">칸마다 무엇을 쓰는지 예시가 한 줄씩 붙어 있다</t>
  </si>
  <si>
    <t xml:space="preserve">일부만 작성</t>
  </si>
  <si>
    <r>
      <rPr>
        <sz val="9"/>
        <color rgb="FF1D1D1F"/>
        <rFont val="맑은 고딕"/>
        <family val="0"/>
        <charset val="1"/>
      </rPr>
      <t xml:space="preserve">SMART</t>
    </r>
    <r>
      <rPr>
        <sz val="9"/>
        <color rgb="FF1D1D1F"/>
        <rFont val="Noto Sans CJK SC"/>
        <family val="2"/>
      </rPr>
      <t xml:space="preserve">를 다 채우지 않아도 저장된다</t>
    </r>
  </si>
  <si>
    <t xml:space="preserve">단계를 오가도 앞서 쓴 내용이 남아 있다</t>
  </si>
  <si>
    <t xml:space="preserve">제출 가능 여부</t>
  </si>
  <si>
    <r>
      <rPr>
        <sz val="9"/>
        <color rgb="FF1D1D1F"/>
        <rFont val="Noto Sans CJK SC"/>
        <family val="2"/>
      </rPr>
      <t xml:space="preserve">지표가 없으므로 상태칸 아래에 </t>
    </r>
    <r>
      <rPr>
        <sz val="9"/>
        <color rgb="FF1D1D1F"/>
        <rFont val="맑은 고딕"/>
        <family val="0"/>
        <charset val="1"/>
      </rPr>
      <t xml:space="preserve">'KPI </t>
    </r>
    <r>
      <rPr>
        <sz val="9"/>
        <color rgb="FF1D1D1F"/>
        <rFont val="Noto Sans CJK SC"/>
        <family val="2"/>
      </rPr>
      <t xml:space="preserve">지표 필요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라고 뜬다</t>
    </r>
  </si>
  <si>
    <r>
      <rPr>
        <sz val="9"/>
        <color rgb="FF1D1D1F"/>
        <rFont val="맑은 고딕"/>
        <family val="0"/>
        <charset val="1"/>
      </rPr>
      <t xml:space="preserve">KPI </t>
    </r>
    <r>
      <rPr>
        <sz val="9"/>
        <color rgb="FF1D1D1F"/>
        <rFont val="Noto Sans CJK SC"/>
        <family val="2"/>
      </rPr>
      <t xml:space="preserve">기준정보</t>
    </r>
  </si>
  <si>
    <t xml:space="preserve">새 지표 등록</t>
  </si>
  <si>
    <r>
      <rPr>
        <sz val="9"/>
        <color rgb="FF1D1D1F"/>
        <rFont val="Noto Sans CJK SC"/>
        <family val="2"/>
      </rPr>
      <t xml:space="preserve">이름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방향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단위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기본 주기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집계 방식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설명을 넣어 등록된다</t>
    </r>
  </si>
  <si>
    <t xml:space="preserve">중복 등록</t>
  </si>
  <si>
    <t xml:space="preserve">같은 이름을 또 등록하면 막힌다</t>
  </si>
  <si>
    <t xml:space="preserve">지표 검색</t>
  </si>
  <si>
    <r>
      <rPr>
        <sz val="9"/>
        <color rgb="FF1D1D1F"/>
        <rFont val="Noto Sans CJK SC"/>
        <family val="2"/>
      </rPr>
      <t xml:space="preserve">등록한 지표가 검색되고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초성으로도 찾아진다</t>
    </r>
  </si>
  <si>
    <t xml:space="preserve">속성 상속</t>
  </si>
  <si>
    <r>
      <rPr>
        <sz val="9"/>
        <color rgb="FF1D1D1F"/>
        <rFont val="Noto Sans CJK SC"/>
        <family val="2"/>
      </rPr>
      <t xml:space="preserve">기준정보에서 정한 방향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단위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주기가 자동으로 채워져 있다</t>
    </r>
  </si>
  <si>
    <r>
      <rPr>
        <b val="true"/>
        <sz val="9"/>
        <color rgb="FF1D1D1F"/>
        <rFont val="Noto Sans CJK SC"/>
        <family val="2"/>
      </rPr>
      <t xml:space="preserve">목표값</t>
    </r>
    <r>
      <rPr>
        <b val="true"/>
        <sz val="9"/>
        <color rgb="FF1D1D1F"/>
        <rFont val="맑은 고딕"/>
        <family val="0"/>
        <charset val="1"/>
      </rPr>
      <t xml:space="preserve">·</t>
    </r>
    <r>
      <rPr>
        <b val="true"/>
        <sz val="9"/>
        <color rgb="FF1D1D1F"/>
        <rFont val="Noto Sans CJK SC"/>
        <family val="2"/>
      </rPr>
      <t xml:space="preserve">시작값</t>
    </r>
  </si>
  <si>
    <t xml:space="preserve">올해 목표값과 시작값을 각각 넣을 수 있다</t>
  </si>
  <si>
    <t xml:space="preserve">월별 나누기</t>
  </si>
  <si>
    <r>
      <rPr>
        <sz val="9"/>
        <color rgb="FF1D1D1F"/>
        <rFont val="Noto Sans CJK SC"/>
        <family val="2"/>
      </rPr>
      <t xml:space="preserve">연간 목표값이 </t>
    </r>
    <r>
      <rPr>
        <sz val="9"/>
        <color rgb="FF1D1D1F"/>
        <rFont val="맑은 고딕"/>
        <family val="0"/>
        <charset val="1"/>
      </rPr>
      <t xml:space="preserve">12</t>
    </r>
    <r>
      <rPr>
        <sz val="9"/>
        <color rgb="FF1D1D1F"/>
        <rFont val="Noto Sans CJK SC"/>
        <family val="2"/>
      </rPr>
      <t xml:space="preserve">개월로 나뉘어 채워진다</t>
    </r>
  </si>
  <si>
    <r>
      <rPr>
        <sz val="9"/>
        <color rgb="FF1D1D1F"/>
        <rFont val="Noto Sans CJK SC"/>
        <family val="2"/>
      </rPr>
      <t xml:space="preserve">지표와 목표값이 채워지자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제출 가능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으로 바뀐다</t>
    </r>
  </si>
  <si>
    <t xml:space="preserve">제출한 목표가 올라온다</t>
  </si>
  <si>
    <r>
      <rPr>
        <sz val="9"/>
        <color rgb="FF1D1D1F"/>
        <rFont val="Noto Sans CJK SC"/>
        <family val="2"/>
      </rPr>
      <t xml:space="preserve">지표명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방향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주기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시작값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올해 목표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단위가 표로 보인다</t>
    </r>
  </si>
  <si>
    <t xml:space="preserve">보완 요청 → 수정 → 합의</t>
  </si>
  <si>
    <t xml:space="preserve">상태가 보완 요청 → 검토 중 → 지주사 확정 대기 순으로 바뀐다</t>
  </si>
  <si>
    <t xml:space="preserve">값 저장</t>
  </si>
  <si>
    <r>
      <rPr>
        <sz val="9"/>
        <color rgb="FF1D1D1F"/>
        <rFont val="맑은 고딕"/>
        <family val="0"/>
        <charset val="1"/>
      </rPr>
      <t xml:space="preserve">1</t>
    </r>
    <r>
      <rPr>
        <sz val="9"/>
        <color rgb="FF1D1D1F"/>
        <rFont val="Noto Sans CJK SC"/>
        <family val="2"/>
      </rPr>
      <t xml:space="preserve">월</t>
    </r>
    <r>
      <rPr>
        <sz val="9"/>
        <color rgb="FF1D1D1F"/>
        <rFont val="맑은 고딕"/>
        <family val="0"/>
        <charset val="1"/>
      </rPr>
      <t xml:space="preserve">·2</t>
    </r>
    <r>
      <rPr>
        <sz val="9"/>
        <color rgb="FF1D1D1F"/>
        <rFont val="Noto Sans CJK SC"/>
        <family val="2"/>
      </rPr>
      <t xml:space="preserve">월 실적이 저장되고 모서리에 알림이 뜬다</t>
    </r>
  </si>
  <si>
    <t xml:space="preserve">감소형 달성률</t>
  </si>
  <si>
    <r>
      <rPr>
        <sz val="9"/>
        <color rgb="FF1D1D1F"/>
        <rFont val="Noto Sans CJK SC"/>
        <family val="2"/>
      </rPr>
      <t xml:space="preserve">목표보다 나쁜 실적일 때 달성률이 </t>
    </r>
    <r>
      <rPr>
        <sz val="9"/>
        <color rgb="FF1D1D1F"/>
        <rFont val="맑은 고딕"/>
        <family val="0"/>
        <charset val="1"/>
      </rPr>
      <t xml:space="preserve">100% </t>
    </r>
    <r>
      <rPr>
        <sz val="9"/>
        <color rgb="FF1D1D1F"/>
        <rFont val="Noto Sans CJK SC"/>
        <family val="2"/>
      </rPr>
      <t xml:space="preserve">아래로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좋은 실적일 때 </t>
    </r>
    <r>
      <rPr>
        <sz val="9"/>
        <color rgb="FF1D1D1F"/>
        <rFont val="맑은 고딕"/>
        <family val="0"/>
        <charset val="1"/>
      </rPr>
      <t xml:space="preserve">100% </t>
    </r>
    <r>
      <rPr>
        <sz val="9"/>
        <color rgb="FF1D1D1F"/>
        <rFont val="Noto Sans CJK SC"/>
        <family val="2"/>
      </rPr>
      <t xml:space="preserve">위로 나온다</t>
    </r>
  </si>
  <si>
    <t xml:space="preserve">시작값 필요 여부</t>
  </si>
  <si>
    <t xml:space="preserve">낮을수록 좋은 지표는 시작값이 없으면 달성률이 계산되지 않는다</t>
  </si>
  <si>
    <t xml:space="preserve">숨김 처리</t>
  </si>
  <si>
    <t xml:space="preserve">숨긴 지표는 새 목표를 쓸 때 더 이상 검색되지 않는다</t>
  </si>
  <si>
    <t xml:space="preserve">숨김 후 기존 목표</t>
  </si>
  <si>
    <t xml:space="preserve">이미 그 지표를 쓰고 있는 목표에는 지표명이 그대로 남아 있다</t>
  </si>
  <si>
    <t xml:space="preserve">수치형 지표 등록</t>
  </si>
  <si>
    <t xml:space="preserve">완료 여부형 지표 등록</t>
  </si>
  <si>
    <t xml:space="preserve">완료 여부로 관리하는 유형으로 등록할 수 있다</t>
  </si>
  <si>
    <t xml:space="preserve">지표 두 개 붙이기</t>
  </si>
  <si>
    <t xml:space="preserve">한 목표에 지표를 두 개 이상 넣을 수 있다</t>
  </si>
  <si>
    <t xml:space="preserve">유형별 입력칸</t>
  </si>
  <si>
    <r>
      <rPr>
        <sz val="9"/>
        <color rgb="FF1D1D1F"/>
        <rFont val="Noto Sans CJK SC"/>
        <family val="2"/>
      </rPr>
      <t xml:space="preserve">완료 여부형 지표는 목표값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단위를 묻지 않는다</t>
    </r>
  </si>
  <si>
    <t xml:space="preserve">기간별 목표 직접 입력</t>
  </si>
  <si>
    <r>
      <rPr>
        <sz val="9"/>
        <color rgb="FF1D1D1F"/>
        <rFont val="Noto Sans CJK SC"/>
        <family val="2"/>
      </rPr>
      <t xml:space="preserve">월마다 다른 값을 넣을 수 있고 </t>
    </r>
    <r>
      <rPr>
        <sz val="9"/>
        <color rgb="FF1D1D1F"/>
        <rFont val="맑은 고딕"/>
        <family val="0"/>
        <charset val="1"/>
      </rPr>
      <t xml:space="preserve">0</t>
    </r>
    <r>
      <rPr>
        <sz val="9"/>
        <color rgb="FF1D1D1F"/>
        <rFont val="Noto Sans CJK SC"/>
        <family val="2"/>
      </rPr>
      <t xml:space="preserve">도 넣을 수 있다</t>
    </r>
  </si>
  <si>
    <t xml:space="preserve">합계 불일치 경고</t>
  </si>
  <si>
    <t xml:space="preserve">기간별 목표의 합이 연간 목표와 다르면 알려준다</t>
  </si>
  <si>
    <t xml:space="preserve">지표 두 개</t>
  </si>
  <si>
    <t xml:space="preserve">성격이 다른 두 지표가 표에 각각 나온다</t>
  </si>
  <si>
    <t xml:space="preserve">지표별 보완 요청</t>
  </si>
  <si>
    <r>
      <rPr>
        <sz val="9"/>
        <color rgb="FF1D1D1F"/>
        <rFont val="Noto Sans CJK SC"/>
        <family val="2"/>
      </rPr>
      <t xml:space="preserve">어느 지표에 대한 요청인지 고를 수 있고 사유 앞에 </t>
    </r>
    <r>
      <rPr>
        <sz val="9"/>
        <color rgb="FF1D1D1F"/>
        <rFont val="맑은 고딕"/>
        <family val="0"/>
        <charset val="1"/>
      </rPr>
      <t xml:space="preserve">[</t>
    </r>
    <r>
      <rPr>
        <sz val="9"/>
        <color rgb="FF1D1D1F"/>
        <rFont val="Noto Sans CJK SC"/>
        <family val="2"/>
      </rPr>
      <t xml:space="preserve">지표명</t>
    </r>
    <r>
      <rPr>
        <sz val="9"/>
        <color rgb="FF1D1D1F"/>
        <rFont val="맑은 고딕"/>
        <family val="0"/>
        <charset val="1"/>
      </rPr>
      <t xml:space="preserve">]</t>
    </r>
    <r>
      <rPr>
        <sz val="9"/>
        <color rgb="FF1D1D1F"/>
        <rFont val="Noto Sans CJK SC"/>
        <family val="2"/>
      </rPr>
      <t xml:space="preserve">이 붙는다</t>
    </r>
  </si>
  <si>
    <r>
      <rPr>
        <sz val="9"/>
        <color rgb="FF1D1D1F"/>
        <rFont val="Noto Sans CJK SC"/>
        <family val="2"/>
      </rPr>
      <t xml:space="preserve">숫자 지표는 숫자칸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완료 여부 지표는 완료</t>
    </r>
    <r>
      <rPr>
        <sz val="9"/>
        <color rgb="FF1D1D1F"/>
        <rFont val="맑은 고딕"/>
        <family val="0"/>
        <charset val="1"/>
      </rPr>
      <t xml:space="preserve">/</t>
    </r>
    <r>
      <rPr>
        <sz val="9"/>
        <color rgb="FF1D1D1F"/>
        <rFont val="Noto Sans CJK SC"/>
        <family val="2"/>
      </rPr>
      <t xml:space="preserve">미완료 선택칸으로 나온다</t>
    </r>
  </si>
  <si>
    <r>
      <rPr>
        <sz val="9"/>
        <color rgb="FF1D1D1F"/>
        <rFont val="Noto Sans CJK SC"/>
        <family val="2"/>
      </rPr>
      <t xml:space="preserve">핵심지표가 </t>
    </r>
    <r>
      <rPr>
        <sz val="9"/>
        <color rgb="FF1D1D1F"/>
        <rFont val="맑은 고딕"/>
        <family val="0"/>
        <charset val="1"/>
      </rPr>
      <t xml:space="preserve">2</t>
    </r>
    <r>
      <rPr>
        <sz val="9"/>
        <color rgb="FF1D1D1F"/>
        <rFont val="Noto Sans CJK SC"/>
        <family val="2"/>
      </rPr>
      <t xml:space="preserve">개로 나오고 달성률 아래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지표 </t>
    </r>
    <r>
      <rPr>
        <sz val="9"/>
        <color rgb="FF1D1D1F"/>
        <rFont val="맑은 고딕"/>
        <family val="0"/>
        <charset val="1"/>
      </rPr>
      <t xml:space="preserve">2</t>
    </r>
    <r>
      <rPr>
        <sz val="9"/>
        <color rgb="FF1D1D1F"/>
        <rFont val="Noto Sans CJK SC"/>
        <family val="2"/>
      </rPr>
      <t xml:space="preserve">개 평균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이라고 적혀 있다</t>
    </r>
  </si>
  <si>
    <t xml:space="preserve">달성률 합산 방식</t>
  </si>
  <si>
    <t xml:space="preserve">두 지표의 달성률을 직접 평균 낸 값과 화면의 값이 같다</t>
  </si>
  <si>
    <r>
      <rPr>
        <b val="true"/>
        <sz val="12"/>
        <color rgb="FF1D1D1F"/>
        <rFont val="Noto Sans CJK SC"/>
        <family val="2"/>
      </rPr>
      <t xml:space="preserve">결함목록 — </t>
    </r>
    <r>
      <rPr>
        <b val="true"/>
        <sz val="12"/>
        <color rgb="FF1D1D1F"/>
        <rFont val="맑은 고딕"/>
        <family val="0"/>
        <charset val="1"/>
      </rPr>
      <t xml:space="preserve">FAIL</t>
    </r>
    <r>
      <rPr>
        <b val="true"/>
        <sz val="12"/>
        <color rgb="FF1D1D1F"/>
        <rFont val="Noto Sans CJK SC"/>
        <family val="2"/>
      </rPr>
      <t xml:space="preserve">이 난 것을 여기에 적습니다</t>
    </r>
    <r>
      <rPr>
        <b val="true"/>
        <sz val="12"/>
        <color rgb="FF1D1D1F"/>
        <rFont val="맑은 고딕"/>
        <family val="0"/>
        <charset val="1"/>
      </rPr>
      <t xml:space="preserve">. </t>
    </r>
    <r>
      <rPr>
        <b val="true"/>
        <sz val="12"/>
        <color rgb="FF1D1D1F"/>
        <rFont val="Noto Sans CJK SC"/>
        <family val="2"/>
      </rPr>
      <t xml:space="preserve">결함</t>
    </r>
    <r>
      <rPr>
        <b val="true"/>
        <sz val="12"/>
        <color rgb="FF1D1D1F"/>
        <rFont val="맑은 고딕"/>
        <family val="0"/>
        <charset val="1"/>
      </rPr>
      <t xml:space="preserve">ID</t>
    </r>
    <r>
      <rPr>
        <b val="true"/>
        <sz val="12"/>
        <color rgb="FF1D1D1F"/>
        <rFont val="Noto Sans CJK SC"/>
        <family val="2"/>
      </rPr>
      <t xml:space="preserve">를 </t>
    </r>
    <r>
      <rPr>
        <b val="true"/>
        <sz val="12"/>
        <color rgb="FF1D1D1F"/>
        <rFont val="맑은 고딕"/>
        <family val="0"/>
        <charset val="1"/>
      </rPr>
      <t xml:space="preserve">'</t>
    </r>
    <r>
      <rPr>
        <b val="true"/>
        <sz val="12"/>
        <color rgb="FF1D1D1F"/>
        <rFont val="Noto Sans CJK SC"/>
        <family val="2"/>
      </rPr>
      <t xml:space="preserve">확인항목</t>
    </r>
    <r>
      <rPr>
        <b val="true"/>
        <sz val="12"/>
        <color rgb="FF1D1D1F"/>
        <rFont val="맑은 고딕"/>
        <family val="0"/>
        <charset val="1"/>
      </rPr>
      <t xml:space="preserve">' </t>
    </r>
    <r>
      <rPr>
        <b val="true"/>
        <sz val="12"/>
        <color rgb="FF1D1D1F"/>
        <rFont val="Noto Sans CJK SC"/>
        <family val="2"/>
      </rPr>
      <t xml:space="preserve">시트의 해당 줄에도 적어주세요</t>
    </r>
    <r>
      <rPr>
        <b val="true"/>
        <sz val="12"/>
        <color rgb="FF1D1D1F"/>
        <rFont val="맑은 고딕"/>
        <family val="0"/>
        <charset val="1"/>
      </rPr>
      <t xml:space="preserve">.</t>
    </r>
  </si>
  <si>
    <t xml:space="preserve">발견자</t>
  </si>
  <si>
    <t xml:space="preserve">화면</t>
  </si>
  <si>
    <t xml:space="preserve">무슨 일이 일어났나요</t>
  </si>
  <si>
    <r>
      <rPr>
        <b val="true"/>
        <sz val="10"/>
        <color rgb="FFFFFFFF"/>
        <rFont val="Noto Sans CJK SC"/>
        <family val="2"/>
      </rPr>
      <t xml:space="preserve">어떻게 하면 다시 보이나요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재현 순서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</si>
  <si>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심각도</t>
  </si>
  <si>
    <t xml:space="preserve">발견일</t>
  </si>
  <si>
    <t xml:space="preserve">처리 상태</t>
  </si>
  <si>
    <t xml:space="preserve">조치 내용</t>
  </si>
  <si>
    <t xml:space="preserve">BUG-01</t>
  </si>
  <si>
    <r>
      <rPr>
        <i val="true"/>
        <sz val="9"/>
        <color rgb="FF8E8E93"/>
        <rFont val="맑은 고딕"/>
        <family val="0"/>
        <charset val="1"/>
      </rPr>
      <t xml:space="preserve">(</t>
    </r>
    <r>
      <rPr>
        <i val="true"/>
        <sz val="9"/>
        <color rgb="FF8E8E93"/>
        <rFont val="Noto Sans CJK SC"/>
        <family val="2"/>
      </rPr>
      <t xml:space="preserve">예시</t>
    </r>
    <r>
      <rPr>
        <i val="true"/>
        <sz val="9"/>
        <color rgb="FF8E8E93"/>
        <rFont val="맑은 고딕"/>
        <family val="0"/>
        <charset val="1"/>
      </rPr>
      <t xml:space="preserve">) </t>
    </r>
    <r>
      <rPr>
        <i val="true"/>
        <sz val="9"/>
        <color rgb="FF8E8E93"/>
        <rFont val="Noto Sans CJK SC"/>
        <family val="2"/>
      </rPr>
      <t xml:space="preserve">〃로 줄어든 줄의 › 단추를 눌러도 아무 반응이 없다</t>
    </r>
  </si>
  <si>
    <r>
      <rPr>
        <i val="true"/>
        <sz val="9"/>
        <color rgb="FF8E8E93"/>
        <rFont val="Noto Sans CJK SC"/>
        <family val="2"/>
      </rPr>
      <t xml:space="preserve">① 사업계획 </t>
    </r>
    <r>
      <rPr>
        <i val="true"/>
        <sz val="9"/>
        <color rgb="FF8E8E93"/>
        <rFont val="맑은 고딕"/>
        <family val="0"/>
        <charset val="1"/>
      </rPr>
      <t xml:space="preserve">&gt; </t>
    </r>
    <r>
      <rPr>
        <i val="true"/>
        <sz val="9"/>
        <color rgb="FF8E8E93"/>
        <rFont val="Noto Sans CJK SC"/>
        <family val="2"/>
      </rPr>
      <t xml:space="preserve">전체 탭
② 신성장 </t>
    </r>
    <r>
      <rPr>
        <i val="true"/>
        <sz val="9"/>
        <color rgb="FF8E8E93"/>
        <rFont val="맑은 고딕"/>
        <family val="0"/>
        <charset val="1"/>
      </rPr>
      <t xml:space="preserve">'</t>
    </r>
    <r>
      <rPr>
        <i val="true"/>
        <sz val="9"/>
        <color rgb="FF8E8E93"/>
        <rFont val="Noto Sans CJK SC"/>
        <family val="2"/>
      </rPr>
      <t xml:space="preserve">신성장동력 발굴</t>
    </r>
    <r>
      <rPr>
        <i val="true"/>
        <sz val="9"/>
        <color rgb="FF8E8E93"/>
        <rFont val="맑은 고딕"/>
        <family val="0"/>
        <charset val="1"/>
      </rPr>
      <t xml:space="preserve">(</t>
    </r>
    <r>
      <rPr>
        <i val="true"/>
        <sz val="9"/>
        <color rgb="FF8E8E93"/>
        <rFont val="Noto Sans CJK SC"/>
        <family val="2"/>
      </rPr>
      <t xml:space="preserve">소금사업</t>
    </r>
    <r>
      <rPr>
        <i val="true"/>
        <sz val="9"/>
        <color rgb="FF8E8E93"/>
        <rFont val="맑은 고딕"/>
        <family val="0"/>
        <charset val="1"/>
      </rPr>
      <t xml:space="preserve">)' </t>
    </r>
    <r>
      <rPr>
        <i val="true"/>
        <sz val="9"/>
        <color rgb="FF8E8E93"/>
        <rFont val="Noto Sans CJK SC"/>
        <family val="2"/>
      </rPr>
      <t xml:space="preserve">세 줄 중 두 번째 줄
③ 전략 이름 왼쪽 › 를 클릭
④ 펼쳐지지 않음</t>
    </r>
  </si>
  <si>
    <t xml:space="preserve">중간 — 불편하지만 일은 된다</t>
  </si>
  <si>
    <t xml:space="preserve">2026-10-30</t>
  </si>
  <si>
    <t xml:space="preserve">확인 중</t>
  </si>
  <si>
    <t xml:space="preserve">진행현황</t>
  </si>
  <si>
    <r>
      <rPr>
        <sz val="9"/>
        <color rgb="FF6E6E73"/>
        <rFont val="Noto Sans CJK SC"/>
        <family val="2"/>
      </rPr>
      <t xml:space="preserve">아래 숫자는 전부 자동 계산입니다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입력할 칸이 없습니다</t>
    </r>
    <r>
      <rPr>
        <sz val="9"/>
        <color rgb="FF6E6E73"/>
        <rFont val="맑은 고딕"/>
        <family val="0"/>
        <charset val="1"/>
      </rPr>
      <t xml:space="preserve">.</t>
    </r>
  </si>
  <si>
    <t xml:space="preserve">시나리오</t>
  </si>
  <si>
    <t xml:space="preserve">보류</t>
  </si>
  <si>
    <t xml:space="preserve">진행률</t>
  </si>
  <si>
    <t xml:space="preserve">합계</t>
  </si>
  <si>
    <t xml:space="preserve">케이스 단위 결과</t>
  </si>
  <si>
    <t xml:space="preserve">시트</t>
  </si>
  <si>
    <t xml:space="preserve">진행중</t>
  </si>
  <si>
    <t xml:space="preserve">미착수</t>
  </si>
  <si>
    <r>
      <rPr>
        <sz val="9"/>
        <color rgb="FF1D1D1F"/>
        <rFont val="Noto Sans CJK SC"/>
        <family val="2"/>
      </rPr>
      <t xml:space="preserve">기능</t>
    </r>
    <r>
      <rPr>
        <sz val="9"/>
        <color rgb="FF1D1D1F"/>
        <rFont val="맑은 고딕"/>
        <family val="0"/>
        <charset val="1"/>
      </rPr>
      <t xml:space="preserve">_</t>
    </r>
    <r>
      <rPr>
        <sz val="9"/>
        <color rgb="FF1D1D1F"/>
        <rFont val="Noto Sans CJK SC"/>
        <family val="2"/>
      </rPr>
      <t xml:space="preserve">강원심층수</t>
    </r>
  </si>
  <si>
    <r>
      <rPr>
        <sz val="9"/>
        <color rgb="FF1D1D1F"/>
        <rFont val="Noto Sans CJK SC"/>
        <family val="2"/>
      </rPr>
      <t xml:space="preserve">기능</t>
    </r>
    <r>
      <rPr>
        <sz val="9"/>
        <color rgb="FF1D1D1F"/>
        <rFont val="맑은 고딕"/>
        <family val="0"/>
        <charset val="1"/>
      </rPr>
      <t xml:space="preserve">_</t>
    </r>
    <r>
      <rPr>
        <sz val="9"/>
        <color rgb="FF1D1D1F"/>
        <rFont val="Noto Sans CJK SC"/>
        <family val="2"/>
      </rPr>
      <t xml:space="preserve">대교</t>
    </r>
    <r>
      <rPr>
        <sz val="9"/>
        <color rgb="FF1D1D1F"/>
        <rFont val="맑은 고딕"/>
        <family val="0"/>
        <charset val="1"/>
      </rPr>
      <t xml:space="preserve">D&amp;S</t>
    </r>
  </si>
  <si>
    <r>
      <rPr>
        <sz val="9"/>
        <color rgb="FF1D1D1F"/>
        <rFont val="Noto Sans CJK SC"/>
        <family val="2"/>
      </rPr>
      <t xml:space="preserve">업무흐름</t>
    </r>
    <r>
      <rPr>
        <sz val="9"/>
        <color rgb="FF1D1D1F"/>
        <rFont val="맑은 고딕"/>
        <family val="0"/>
        <charset val="1"/>
      </rPr>
      <t xml:space="preserve">_</t>
    </r>
    <r>
      <rPr>
        <sz val="9"/>
        <color rgb="FF1D1D1F"/>
        <rFont val="Noto Sans CJK SC"/>
        <family val="2"/>
      </rPr>
      <t xml:space="preserve">전략수립</t>
    </r>
  </si>
  <si>
    <t xml:space="preserve">결함 현황</t>
  </si>
  <si>
    <t xml:space="preserve">건수</t>
  </si>
  <si>
    <t xml:space="preserve">치명 — 업무가 아예 안 된다</t>
  </si>
  <si>
    <t xml:space="preserve">경미 — 보기에만 어색하다</t>
  </si>
  <si>
    <t xml:space="preserve">개선 의견 — 오류는 아니다</t>
  </si>
  <si>
    <r>
      <rPr>
        <sz val="9"/>
        <color rgb="FF1D1D1F"/>
        <rFont val="Noto Sans CJK SC"/>
        <family val="2"/>
      </rPr>
      <t xml:space="preserve">미해결 </t>
    </r>
    <r>
      <rPr>
        <sz val="9"/>
        <color rgb="FF1D1D1F"/>
        <rFont val="맑은 고딕"/>
        <family val="0"/>
        <charset val="1"/>
      </rPr>
      <t xml:space="preserve">(</t>
    </r>
    <r>
      <rPr>
        <sz val="9"/>
        <color rgb="FF1D1D1F"/>
        <rFont val="Noto Sans CJK SC"/>
        <family val="2"/>
      </rPr>
      <t xml:space="preserve">재확인 완료가 아닌 것</t>
    </r>
    <r>
      <rPr>
        <sz val="9"/>
        <color rgb="FF1D1D1F"/>
        <rFont val="맑은 고딕"/>
        <family val="0"/>
        <charset val="1"/>
      </rPr>
      <t xml:space="preserve">)</t>
    </r>
  </si>
  <si>
    <t xml:space="preserve">단위 테스트 — 자동 점검 결과</t>
  </si>
  <si>
    <r>
      <rPr>
        <sz val="9"/>
        <color rgb="FF6E6E73"/>
        <rFont val="Noto Sans CJK SC"/>
        <family val="2"/>
      </rPr>
      <t xml:space="preserve">계산식과 화면 규칙은 사람이 눈으로 볼 수 없는 영역이라</t>
    </r>
    <r>
      <rPr>
        <sz val="9"/>
        <color rgb="FF6E6E73"/>
        <rFont val="맑은 고딕"/>
        <family val="0"/>
        <charset val="1"/>
      </rPr>
      <t xml:space="preserve">, </t>
    </r>
    <r>
      <rPr>
        <sz val="9"/>
        <color rgb="FF6E6E73"/>
        <rFont val="Noto Sans CJK SC"/>
        <family val="2"/>
      </rPr>
      <t xml:space="preserve">코드로 매번 같은 기준으로 자동 점검합니다</t>
    </r>
    <r>
      <rPr>
        <sz val="9"/>
        <color rgb="FF6E6E73"/>
        <rFont val="맑은 고딕"/>
        <family val="0"/>
        <charset val="1"/>
      </rPr>
      <t xml:space="preserve">.
</t>
    </r>
    <r>
      <rPr>
        <sz val="9"/>
        <color rgb="FF6E6E73"/>
        <rFont val="Noto Sans CJK SC"/>
        <family val="2"/>
      </rPr>
      <t xml:space="preserve">테스터가 입력할 칸은 없습니다</t>
    </r>
    <r>
      <rPr>
        <sz val="9"/>
        <color rgb="FF6E6E73"/>
        <rFont val="맑은 고딕"/>
        <family val="0"/>
        <charset val="1"/>
      </rPr>
      <t xml:space="preserve">. </t>
    </r>
    <r>
      <rPr>
        <sz val="9"/>
        <color rgb="FF6E6E73"/>
        <rFont val="Noto Sans CJK SC"/>
        <family val="2"/>
      </rPr>
      <t xml:space="preserve">배포 전에 개발자가 돌린 결과를 기록해 둔 시트입니다</t>
    </r>
    <r>
      <rPr>
        <sz val="9"/>
        <color rgb="FF6E6E73"/>
        <rFont val="맑은 고딕"/>
        <family val="0"/>
        <charset val="1"/>
      </rPr>
      <t xml:space="preserve">.</t>
    </r>
  </si>
  <si>
    <r>
      <rPr>
        <b val="true"/>
        <sz val="11"/>
        <color rgb="FF1D1D1F"/>
        <rFont val="Noto Sans CJK SC"/>
        <family val="2"/>
      </rPr>
      <t xml:space="preserve">① 계산 로직 점검  </t>
    </r>
    <r>
      <rPr>
        <b val="true"/>
        <sz val="11"/>
        <color rgb="FF1D1D1F"/>
        <rFont val="맑은 고딕"/>
        <family val="0"/>
        <charset val="1"/>
      </rPr>
      <t xml:space="preserve">·  node check-logic.js</t>
    </r>
  </si>
  <si>
    <t xml:space="preserve">점검 항목</t>
  </si>
  <si>
    <t xml:space="preserve">통과</t>
  </si>
  <si>
    <t xml:space="preserve">무엇을 보는가</t>
  </si>
  <si>
    <t xml:space="preserve">① 달성률 — 지표 유형별</t>
  </si>
  <si>
    <r>
      <rPr>
        <sz val="9"/>
        <color rgb="FF6E6E73"/>
        <rFont val="Noto Sans CJK SC"/>
        <family val="2"/>
      </rPr>
      <t xml:space="preserve">증가형</t>
    </r>
    <r>
      <rPr>
        <sz val="9"/>
        <color rgb="FF6E6E73"/>
        <rFont val="맑은 고딕"/>
        <family val="0"/>
        <charset val="1"/>
      </rPr>
      <t xml:space="preserve">·</t>
    </r>
    <r>
      <rPr>
        <sz val="9"/>
        <color rgb="FF6E6E73"/>
        <rFont val="Noto Sans CJK SC"/>
        <family val="2"/>
      </rPr>
      <t xml:space="preserve">감소형</t>
    </r>
    <r>
      <rPr>
        <sz val="9"/>
        <color rgb="FF6E6E73"/>
        <rFont val="맑은 고딕"/>
        <family val="0"/>
        <charset val="1"/>
      </rPr>
      <t xml:space="preserve">·</t>
    </r>
    <r>
      <rPr>
        <sz val="9"/>
        <color rgb="FF6E6E73"/>
        <rFont val="Noto Sans CJK SC"/>
        <family val="2"/>
      </rPr>
      <t xml:space="preserve">마일스톤</t>
    </r>
    <r>
      <rPr>
        <sz val="9"/>
        <color rgb="FF6E6E73"/>
        <rFont val="맑은 고딕"/>
        <family val="0"/>
        <charset val="1"/>
      </rPr>
      <t xml:space="preserve">·</t>
    </r>
    <r>
      <rPr>
        <sz val="9"/>
        <color rgb="FF6E6E73"/>
        <rFont val="Noto Sans CJK SC"/>
        <family val="2"/>
      </rPr>
      <t xml:space="preserve">정성 지표의 달성률 계산식 </t>
    </r>
    <r>
      <rPr>
        <sz val="9"/>
        <color rgb="FF6E6E73"/>
        <rFont val="맑은 고딕"/>
        <family val="0"/>
        <charset val="1"/>
      </rPr>
      <t xml:space="preserve">(</t>
    </r>
    <r>
      <rPr>
        <sz val="9"/>
        <color rgb="FF6E6E73"/>
        <rFont val="Noto Sans CJK SC"/>
        <family val="2"/>
      </rPr>
      <t xml:space="preserve">업무 </t>
    </r>
    <r>
      <rPr>
        <sz val="9"/>
        <color rgb="FF6E6E73"/>
        <rFont val="맑은 고딕"/>
        <family val="0"/>
        <charset val="1"/>
      </rPr>
      <t xml:space="preserve">WK-03·WD-03</t>
    </r>
    <r>
      <rPr>
        <sz val="9"/>
        <color rgb="FF6E6E73"/>
        <rFont val="Noto Sans CJK SC"/>
        <family val="2"/>
      </rPr>
      <t xml:space="preserve">이 화면에서 확인하는 부분</t>
    </r>
    <r>
      <rPr>
        <sz val="9"/>
        <color rgb="FF6E6E73"/>
        <rFont val="맑은 고딕"/>
        <family val="0"/>
        <charset val="1"/>
      </rPr>
      <t xml:space="preserve">)</t>
    </r>
  </si>
  <si>
    <t xml:space="preserve">② 달성률 — 입력된 구간끼리만 비교</t>
  </si>
  <si>
    <r>
      <rPr>
        <sz val="9"/>
        <color rgb="FF6E6E73"/>
        <rFont val="맑은 고딕"/>
        <family val="0"/>
        <charset val="1"/>
      </rPr>
      <t xml:space="preserve">7</t>
    </r>
    <r>
      <rPr>
        <sz val="9"/>
        <color rgb="FF6E6E73"/>
        <rFont val="Noto Sans CJK SC"/>
        <family val="2"/>
      </rPr>
      <t xml:space="preserve">개월치 실적을 </t>
    </r>
    <r>
      <rPr>
        <sz val="9"/>
        <color rgb="FF6E6E73"/>
        <rFont val="맑은 고딕"/>
        <family val="0"/>
        <charset val="1"/>
      </rPr>
      <t xml:space="preserve">12</t>
    </r>
    <r>
      <rPr>
        <sz val="9"/>
        <color rgb="FF6E6E73"/>
        <rFont val="Noto Sans CJK SC"/>
        <family val="2"/>
      </rPr>
      <t xml:space="preserve">개월 목표와 비교해 </t>
    </r>
    <r>
      <rPr>
        <sz val="9"/>
        <color rgb="FF6E6E73"/>
        <rFont val="맑은 고딕"/>
        <family val="0"/>
        <charset val="1"/>
      </rPr>
      <t xml:space="preserve">300%</t>
    </r>
    <r>
      <rPr>
        <sz val="9"/>
        <color rgb="FF6E6E73"/>
        <rFont val="Noto Sans CJK SC"/>
        <family val="2"/>
      </rPr>
      <t xml:space="preserve">가 나오던 왜곡을 막는다</t>
    </r>
  </si>
  <si>
    <t xml:space="preserve">③ 기간별 참고 목표값</t>
  </si>
  <si>
    <r>
      <rPr>
        <sz val="9"/>
        <color rgb="FF6E6E73"/>
        <rFont val="Noto Sans CJK SC"/>
        <family val="2"/>
      </rPr>
      <t xml:space="preserve">연간 목표만 있을 때 월</t>
    </r>
    <r>
      <rPr>
        <sz val="9"/>
        <color rgb="FF6E6E73"/>
        <rFont val="맑은 고딕"/>
        <family val="0"/>
        <charset val="1"/>
      </rPr>
      <t xml:space="preserve">·</t>
    </r>
    <r>
      <rPr>
        <sz val="9"/>
        <color rgb="FF6E6E73"/>
        <rFont val="Noto Sans CJK SC"/>
        <family val="2"/>
      </rPr>
      <t xml:space="preserve">분기 목표를 어떻게 나누는가 </t>
    </r>
    <r>
      <rPr>
        <sz val="9"/>
        <color rgb="FF6E6E73"/>
        <rFont val="맑은 고딕"/>
        <family val="0"/>
        <charset val="1"/>
      </rPr>
      <t xml:space="preserve">(</t>
    </r>
    <r>
      <rPr>
        <sz val="9"/>
        <color rgb="FF6E6E73"/>
        <rFont val="Noto Sans CJK SC"/>
        <family val="2"/>
      </rPr>
      <t xml:space="preserve">합산</t>
    </r>
    <r>
      <rPr>
        <sz val="9"/>
        <color rgb="FF6E6E73"/>
        <rFont val="맑은 고딕"/>
        <family val="0"/>
        <charset val="1"/>
      </rPr>
      <t xml:space="preserve">/</t>
    </r>
    <r>
      <rPr>
        <sz val="9"/>
        <color rgb="FF6E6E73"/>
        <rFont val="Noto Sans CJK SC"/>
        <family val="2"/>
      </rPr>
      <t xml:space="preserve">누적</t>
    </r>
    <r>
      <rPr>
        <sz val="9"/>
        <color rgb="FF6E6E73"/>
        <rFont val="맑은 고딕"/>
        <family val="0"/>
        <charset val="1"/>
      </rPr>
      <t xml:space="preserve">/</t>
    </r>
    <r>
      <rPr>
        <sz val="9"/>
        <color rgb="FF6E6E73"/>
        <rFont val="Noto Sans CJK SC"/>
        <family val="2"/>
      </rPr>
      <t xml:space="preserve">평균</t>
    </r>
    <r>
      <rPr>
        <sz val="9"/>
        <color rgb="FF6E6E73"/>
        <rFont val="맑은 고딕"/>
        <family val="0"/>
        <charset val="1"/>
      </rPr>
      <t xml:space="preserve">)</t>
    </r>
  </si>
  <si>
    <r>
      <rPr>
        <sz val="9"/>
        <color rgb="FF1D1D1F"/>
        <rFont val="Noto Sans CJK SC"/>
        <family val="2"/>
      </rPr>
      <t xml:space="preserve">④ 기간 — 목록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라벨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마감일</t>
    </r>
  </si>
  <si>
    <r>
      <rPr>
        <sz val="9"/>
        <color rgb="FF6E6E73"/>
        <rFont val="Noto Sans CJK SC"/>
        <family val="2"/>
      </rPr>
      <t xml:space="preserve">월</t>
    </r>
    <r>
      <rPr>
        <sz val="9"/>
        <color rgb="FF6E6E73"/>
        <rFont val="맑은 고딕"/>
        <family val="0"/>
        <charset val="1"/>
      </rPr>
      <t xml:space="preserve">·</t>
    </r>
    <r>
      <rPr>
        <sz val="9"/>
        <color rgb="FF6E6E73"/>
        <rFont val="Noto Sans CJK SC"/>
        <family val="2"/>
      </rPr>
      <t xml:space="preserve">분기</t>
    </r>
    <r>
      <rPr>
        <sz val="9"/>
        <color rgb="FF6E6E73"/>
        <rFont val="맑은 고딕"/>
        <family val="0"/>
        <charset val="1"/>
      </rPr>
      <t xml:space="preserve">·</t>
    </r>
    <r>
      <rPr>
        <sz val="9"/>
        <color rgb="FF6E6E73"/>
        <rFont val="Noto Sans CJK SC"/>
        <family val="2"/>
      </rPr>
      <t xml:space="preserve">반기</t>
    </r>
    <r>
      <rPr>
        <sz val="9"/>
        <color rgb="FF6E6E73"/>
        <rFont val="맑은 고딕"/>
        <family val="0"/>
        <charset val="1"/>
      </rPr>
      <t xml:space="preserve">·</t>
    </r>
    <r>
      <rPr>
        <sz val="9"/>
        <color rgb="FF6E6E73"/>
        <rFont val="Noto Sans CJK SC"/>
        <family val="2"/>
      </rPr>
      <t xml:space="preserve">연간의 기간 목록</t>
    </r>
    <r>
      <rPr>
        <sz val="9"/>
        <color rgb="FF6E6E73"/>
        <rFont val="맑은 고딕"/>
        <family val="0"/>
        <charset val="1"/>
      </rPr>
      <t xml:space="preserve">, </t>
    </r>
    <r>
      <rPr>
        <sz val="9"/>
        <color rgb="FF6E6E73"/>
        <rFont val="Noto Sans CJK SC"/>
        <family val="2"/>
      </rPr>
      <t xml:space="preserve">마감일</t>
    </r>
    <r>
      <rPr>
        <sz val="9"/>
        <color rgb="FF6E6E73"/>
        <rFont val="맑은 고딕"/>
        <family val="0"/>
        <charset val="1"/>
      </rPr>
      <t xml:space="preserve">, </t>
    </r>
    <r>
      <rPr>
        <sz val="9"/>
        <color rgb="FF6E6E73"/>
        <rFont val="Noto Sans CJK SC"/>
        <family val="2"/>
      </rPr>
      <t xml:space="preserve">마감 지난 미입력 추려내기</t>
    </r>
  </si>
  <si>
    <r>
      <rPr>
        <sz val="9"/>
        <color rgb="FF1D1D1F"/>
        <rFont val="Noto Sans CJK SC"/>
        <family val="2"/>
      </rPr>
      <t xml:space="preserve">⑤ 결재 — 역할별 </t>
    </r>
    <r>
      <rPr>
        <sz val="9"/>
        <color rgb="FF1D1D1F"/>
        <rFont val="맑은 고딕"/>
        <family val="0"/>
        <charset val="1"/>
      </rPr>
      <t xml:space="preserve">'</t>
    </r>
    <r>
      <rPr>
        <sz val="9"/>
        <color rgb="FF1D1D1F"/>
        <rFont val="Noto Sans CJK SC"/>
        <family val="2"/>
      </rPr>
      <t xml:space="preserve">내 차례</t>
    </r>
    <r>
      <rPr>
        <sz val="9"/>
        <color rgb="FF1D1D1F"/>
        <rFont val="맑은 고딕"/>
        <family val="0"/>
        <charset val="1"/>
      </rPr>
      <t xml:space="preserve">'</t>
    </r>
  </si>
  <si>
    <r>
      <rPr>
        <sz val="9"/>
        <color rgb="FF6E6E73"/>
        <rFont val="Noto Sans CJK SC"/>
        <family val="2"/>
      </rPr>
      <t xml:space="preserve">사업부</t>
    </r>
    <r>
      <rPr>
        <sz val="9"/>
        <color rgb="FF6E6E73"/>
        <rFont val="맑은 고딕"/>
        <family val="0"/>
        <charset val="1"/>
      </rPr>
      <t xml:space="preserve">/</t>
    </r>
    <r>
      <rPr>
        <sz val="9"/>
        <color rgb="FF6E6E73"/>
        <rFont val="Noto Sans CJK SC"/>
        <family val="2"/>
      </rPr>
      <t xml:space="preserve">계열사</t>
    </r>
    <r>
      <rPr>
        <sz val="9"/>
        <color rgb="FF6E6E73"/>
        <rFont val="맑은 고딕"/>
        <family val="0"/>
        <charset val="1"/>
      </rPr>
      <t xml:space="preserve">/</t>
    </r>
    <r>
      <rPr>
        <sz val="9"/>
        <color rgb="FF6E6E73"/>
        <rFont val="Noto Sans CJK SC"/>
        <family val="2"/>
      </rPr>
      <t xml:space="preserve">지주사 담당자에게 각각 어떤 상태가 내 차례인가</t>
    </r>
  </si>
  <si>
    <t xml:space="preserve">⑥ 제출 준비 조건</t>
  </si>
  <si>
    <r>
      <rPr>
        <sz val="9"/>
        <color rgb="FF6E6E73"/>
        <rFont val="Noto Sans CJK SC"/>
        <family val="2"/>
      </rPr>
      <t xml:space="preserve">무엇이 비면 제출을 막는가 </t>
    </r>
    <r>
      <rPr>
        <sz val="9"/>
        <color rgb="FF6E6E73"/>
        <rFont val="맑은 고딕"/>
        <family val="0"/>
        <charset val="1"/>
      </rPr>
      <t xml:space="preserve">(SMART</t>
    </r>
    <r>
      <rPr>
        <sz val="9"/>
        <color rgb="FF6E6E73"/>
        <rFont val="Noto Sans CJK SC"/>
        <family val="2"/>
      </rPr>
      <t xml:space="preserve">는 막지 않는다</t>
    </r>
    <r>
      <rPr>
        <sz val="9"/>
        <color rgb="FF6E6E73"/>
        <rFont val="맑은 고딕"/>
        <family val="0"/>
        <charset val="1"/>
      </rPr>
      <t xml:space="preserve">)</t>
    </r>
  </si>
  <si>
    <r>
      <rPr>
        <sz val="9"/>
        <color rgb="FF1D1D1F"/>
        <rFont val="Noto Sans CJK SC"/>
        <family val="2"/>
      </rPr>
      <t xml:space="preserve">⑦ 표시 — 지표명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불릿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이스케이프</t>
    </r>
  </si>
  <si>
    <r>
      <rPr>
        <sz val="9"/>
        <color rgb="FF6E6E73"/>
        <rFont val="맑은 고딕"/>
        <family val="0"/>
        <charset val="1"/>
      </rPr>
      <t xml:space="preserve">KPI </t>
    </r>
    <r>
      <rPr>
        <sz val="9"/>
        <color rgb="FF6E6E73"/>
        <rFont val="Noto Sans CJK SC"/>
        <family val="2"/>
      </rPr>
      <t xml:space="preserve">지표명 표시 규칙</t>
    </r>
    <r>
      <rPr>
        <sz val="9"/>
        <color rgb="FF6E6E73"/>
        <rFont val="맑은 고딕"/>
        <family val="0"/>
        <charset val="1"/>
      </rPr>
      <t xml:space="preserve">, </t>
    </r>
    <r>
      <rPr>
        <sz val="9"/>
        <color rgb="FF6E6E73"/>
        <rFont val="Noto Sans CJK SC"/>
        <family val="2"/>
      </rPr>
      <t xml:space="preserve">불릿 목록 변환</t>
    </r>
    <r>
      <rPr>
        <sz val="9"/>
        <color rgb="FF6E6E73"/>
        <rFont val="맑은 고딕"/>
        <family val="0"/>
        <charset val="1"/>
      </rPr>
      <t xml:space="preserve">, </t>
    </r>
    <r>
      <rPr>
        <sz val="9"/>
        <color rgb="FF6E6E73"/>
        <rFont val="Noto Sans CJK SC"/>
        <family val="2"/>
      </rPr>
      <t xml:space="preserve">태그 입력 방어</t>
    </r>
  </si>
  <si>
    <r>
      <rPr>
        <sz val="9"/>
        <color rgb="FF1D1D1F"/>
        <rFont val="Noto Sans CJK SC"/>
        <family val="2"/>
      </rPr>
      <t xml:space="preserve">⑧ 색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위험도는 </t>
    </r>
    <r>
      <rPr>
        <sz val="9"/>
        <color rgb="FF1D1D1F"/>
        <rFont val="맑은 고딕"/>
        <family val="0"/>
        <charset val="1"/>
      </rPr>
      <t xml:space="preserve">CSS </t>
    </r>
    <r>
      <rPr>
        <sz val="9"/>
        <color rgb="FF1D1D1F"/>
        <rFont val="Noto Sans CJK SC"/>
        <family val="2"/>
      </rPr>
      <t xml:space="preserve">클래스로만</t>
    </r>
  </si>
  <si>
    <t xml:space="preserve">화면 색을 코드에 직접 쓰지 않고 디자인 토큰으로만 쓰는지</t>
  </si>
  <si>
    <r>
      <rPr>
        <sz val="9"/>
        <color rgb="FF1D1D1F"/>
        <rFont val="Noto Sans CJK SC"/>
        <family val="2"/>
      </rPr>
      <t xml:space="preserve">⑨ 조직 표시 기간 </t>
    </r>
    <r>
      <rPr>
        <sz val="9"/>
        <color rgb="FF1D1D1F"/>
        <rFont val="맑은 고딕"/>
        <family val="0"/>
        <charset val="1"/>
      </rPr>
      <t xml:space="preserve">· </t>
    </r>
    <r>
      <rPr>
        <sz val="9"/>
        <color rgb="FF1D1D1F"/>
        <rFont val="Noto Sans CJK SC"/>
        <family val="2"/>
      </rPr>
      <t xml:space="preserve">정렬</t>
    </r>
  </si>
  <si>
    <r>
      <rPr>
        <sz val="9"/>
        <color rgb="FF6E6E73"/>
        <rFont val="Noto Sans CJK SC"/>
        <family val="2"/>
      </rPr>
      <t xml:space="preserve">계열사</t>
    </r>
    <r>
      <rPr>
        <sz val="9"/>
        <color rgb="FF6E6E73"/>
        <rFont val="맑은 고딕"/>
        <family val="0"/>
        <charset val="1"/>
      </rPr>
      <t xml:space="preserve">·</t>
    </r>
    <r>
      <rPr>
        <sz val="9"/>
        <color rgb="FF6E6E73"/>
        <rFont val="Noto Sans CJK SC"/>
        <family val="2"/>
      </rPr>
      <t xml:space="preserve">사업부의 신설</t>
    </r>
    <r>
      <rPr>
        <sz val="9"/>
        <color rgb="FF6E6E73"/>
        <rFont val="맑은 고딕"/>
        <family val="0"/>
        <charset val="1"/>
      </rPr>
      <t xml:space="preserve">/</t>
    </r>
    <r>
      <rPr>
        <sz val="9"/>
        <color rgb="FF6E6E73"/>
        <rFont val="Noto Sans CJK SC"/>
        <family val="2"/>
      </rPr>
      <t xml:space="preserve">종료 연도에 따른 노출</t>
    </r>
    <r>
      <rPr>
        <sz val="9"/>
        <color rgb="FF6E6E73"/>
        <rFont val="맑은 고딕"/>
        <family val="0"/>
        <charset val="1"/>
      </rPr>
      <t xml:space="preserve">, </t>
    </r>
    <r>
      <rPr>
        <sz val="9"/>
        <color rgb="FF6E6E73"/>
        <rFont val="Noto Sans CJK SC"/>
        <family val="2"/>
      </rPr>
      <t xml:space="preserve">관리번호 정렬</t>
    </r>
  </si>
  <si>
    <t xml:space="preserve">⑩ 비밀번호 규칙</t>
  </si>
  <si>
    <r>
      <rPr>
        <sz val="9"/>
        <color rgb="FF6E6E73"/>
        <rFont val="Noto Sans CJK SC"/>
        <family val="2"/>
      </rPr>
      <t xml:space="preserve">길이</t>
    </r>
    <r>
      <rPr>
        <sz val="9"/>
        <color rgb="FF6E6E73"/>
        <rFont val="맑은 고딕"/>
        <family val="0"/>
        <charset val="1"/>
      </rPr>
      <t xml:space="preserve">·</t>
    </r>
    <r>
      <rPr>
        <sz val="9"/>
        <color rgb="FF6E6E73"/>
        <rFont val="Noto Sans CJK SC"/>
        <family val="2"/>
      </rPr>
      <t xml:space="preserve">문자 종류</t>
    </r>
    <r>
      <rPr>
        <sz val="9"/>
        <color rgb="FF6E6E73"/>
        <rFont val="맑은 고딕"/>
        <family val="0"/>
        <charset val="1"/>
      </rPr>
      <t xml:space="preserve">·</t>
    </r>
    <r>
      <rPr>
        <sz val="9"/>
        <color rgb="FF6E6E73"/>
        <rFont val="Noto Sans CJK SC"/>
        <family val="2"/>
      </rPr>
      <t xml:space="preserve">공백 검사</t>
    </r>
  </si>
  <si>
    <r>
      <rPr>
        <b val="true"/>
        <sz val="9"/>
        <color rgb="FF1F7A45"/>
        <rFont val="Noto Sans CJK SC"/>
        <family val="2"/>
      </rPr>
      <t xml:space="preserve">실패 </t>
    </r>
    <r>
      <rPr>
        <b val="true"/>
        <sz val="9"/>
        <color rgb="FF1F7A45"/>
        <rFont val="맑은 고딕"/>
        <family val="0"/>
        <charset val="1"/>
      </rPr>
      <t xml:space="preserve">0</t>
    </r>
    <r>
      <rPr>
        <b val="true"/>
        <sz val="9"/>
        <color rgb="FF1F7A45"/>
        <rFont val="Noto Sans CJK SC"/>
        <family val="2"/>
      </rPr>
      <t xml:space="preserve">건 — </t>
    </r>
    <r>
      <rPr>
        <b val="true"/>
        <sz val="9"/>
        <color rgb="FF1F7A45"/>
        <rFont val="맑은 고딕"/>
        <family val="0"/>
        <charset val="1"/>
      </rPr>
      <t xml:space="preserve">2026-10-29 </t>
    </r>
    <r>
      <rPr>
        <b val="true"/>
        <sz val="9"/>
        <color rgb="FF1F7A45"/>
        <rFont val="Noto Sans CJK SC"/>
        <family val="2"/>
      </rPr>
      <t xml:space="preserve">기준</t>
    </r>
  </si>
  <si>
    <r>
      <rPr>
        <b val="true"/>
        <sz val="11"/>
        <color rgb="FF1D1D1F"/>
        <rFont val="Noto Sans CJK SC"/>
        <family val="2"/>
      </rPr>
      <t xml:space="preserve">② 화면 규칙 점검  </t>
    </r>
    <r>
      <rPr>
        <b val="true"/>
        <sz val="11"/>
        <color rgb="FF1D1D1F"/>
        <rFont val="맑은 고딕"/>
        <family val="0"/>
        <charset val="1"/>
      </rPr>
      <t xml:space="preserve">·  node check-ui.js</t>
    </r>
  </si>
  <si>
    <t xml:space="preserve">결과</t>
  </si>
  <si>
    <t xml:space="preserve">색상은 토큰으로만</t>
  </si>
  <si>
    <r>
      <rPr>
        <sz val="9"/>
        <color rgb="FF6E6E73"/>
        <rFont val="맑은 고딕"/>
        <family val="0"/>
        <charset val="1"/>
      </rPr>
      <t xml:space="preserve">CSS·HTML·</t>
    </r>
    <r>
      <rPr>
        <sz val="9"/>
        <color rgb="FF6E6E73"/>
        <rFont val="Noto Sans CJK SC"/>
        <family val="2"/>
      </rPr>
      <t xml:space="preserve">차트 어디에도 색상값</t>
    </r>
    <r>
      <rPr>
        <sz val="9"/>
        <color rgb="FF6E6E73"/>
        <rFont val="맑은 고딕"/>
        <family val="0"/>
        <charset val="1"/>
      </rPr>
      <t xml:space="preserve">(#3a4356)</t>
    </r>
    <r>
      <rPr>
        <sz val="9"/>
        <color rgb="FF6E6E73"/>
        <rFont val="Noto Sans CJK SC"/>
        <family val="2"/>
      </rPr>
      <t xml:space="preserve">을 직접 쓰지 않았는가</t>
    </r>
  </si>
  <si>
    <t xml:space="preserve">정의되지 않은 토큰</t>
  </si>
  <si>
    <r>
      <rPr>
        <sz val="9"/>
        <color rgb="FF6E6E73"/>
        <rFont val="맑은 고딕"/>
        <family val="0"/>
        <charset val="1"/>
      </rPr>
      <t xml:space="preserve">var(--acent) </t>
    </r>
    <r>
      <rPr>
        <sz val="9"/>
        <color rgb="FF6E6E73"/>
        <rFont val="Noto Sans CJK SC"/>
        <family val="2"/>
      </rPr>
      <t xml:space="preserve">같은 오타로 색이 조용히 빠지지 않았는가</t>
    </r>
  </si>
  <si>
    <r>
      <rPr>
        <sz val="9"/>
        <color rgb="FF1D1D1F"/>
        <rFont val="Noto Sans CJK SC"/>
        <family val="2"/>
      </rPr>
      <t xml:space="preserve">간격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반경은 </t>
    </r>
    <r>
      <rPr>
        <sz val="9"/>
        <color rgb="FF1D1D1F"/>
        <rFont val="맑은 고딕"/>
        <family val="0"/>
        <charset val="1"/>
      </rPr>
      <t xml:space="preserve">4px </t>
    </r>
    <r>
      <rPr>
        <sz val="9"/>
        <color rgb="FF1D1D1F"/>
        <rFont val="Noto Sans CJK SC"/>
        <family val="2"/>
      </rPr>
      <t xml:space="preserve">그리드</t>
    </r>
  </si>
  <si>
    <r>
      <rPr>
        <sz val="9"/>
        <color rgb="FF6E6E73"/>
        <rFont val="Noto Sans CJK SC"/>
        <family val="2"/>
      </rPr>
      <t xml:space="preserve">여백이 </t>
    </r>
    <r>
      <rPr>
        <sz val="9"/>
        <color rgb="FF6E6E73"/>
        <rFont val="맑은 고딕"/>
        <family val="0"/>
        <charset val="1"/>
      </rPr>
      <t xml:space="preserve">4</t>
    </r>
    <r>
      <rPr>
        <sz val="9"/>
        <color rgb="FF6E6E73"/>
        <rFont val="Noto Sans CJK SC"/>
        <family val="2"/>
      </rPr>
      <t xml:space="preserve">의 배수인가 </t>
    </r>
    <r>
      <rPr>
        <sz val="9"/>
        <color rgb="FF6E6E73"/>
        <rFont val="맑은 고딕"/>
        <family val="0"/>
        <charset val="1"/>
      </rPr>
      <t xml:space="preserve">(13px·18px </t>
    </r>
    <r>
      <rPr>
        <sz val="9"/>
        <color rgb="FF6E6E73"/>
        <rFont val="Noto Sans CJK SC"/>
        <family val="2"/>
      </rPr>
      <t xml:space="preserve">같은 눈대중 값이 섞이지 않았는가</t>
    </r>
    <r>
      <rPr>
        <sz val="9"/>
        <color rgb="FF6E6E73"/>
        <rFont val="맑은 고딕"/>
        <family val="0"/>
        <charset val="1"/>
      </rPr>
      <t xml:space="preserve">)</t>
    </r>
  </si>
  <si>
    <r>
      <rPr>
        <sz val="9"/>
        <color rgb="FF1D1D1F"/>
        <rFont val="Noto Sans CJK SC"/>
        <family val="2"/>
      </rPr>
      <t xml:space="preserve">제목</t>
    </r>
    <r>
      <rPr>
        <sz val="9"/>
        <color rgb="FF1D1D1F"/>
        <rFont val="맑은 고딕"/>
        <family val="0"/>
        <charset val="1"/>
      </rPr>
      <t xml:space="preserve">·</t>
    </r>
    <r>
      <rPr>
        <sz val="9"/>
        <color rgb="FF1D1D1F"/>
        <rFont val="Noto Sans CJK SC"/>
        <family val="2"/>
      </rPr>
      <t xml:space="preserve">버튼 공통 스타일</t>
    </r>
  </si>
  <si>
    <r>
      <rPr>
        <sz val="9"/>
        <color rgb="FF6E6E73"/>
        <rFont val="Noto Sans CJK SC"/>
        <family val="2"/>
      </rPr>
      <t xml:space="preserve">모든 화면이 같은 제목</t>
    </r>
    <r>
      <rPr>
        <sz val="9"/>
        <color rgb="FF6E6E73"/>
        <rFont val="맑은 고딕"/>
        <family val="0"/>
        <charset val="1"/>
      </rPr>
      <t xml:space="preserve">·</t>
    </r>
    <r>
      <rPr>
        <sz val="9"/>
        <color rgb="FF6E6E73"/>
        <rFont val="Noto Sans CJK SC"/>
        <family val="2"/>
      </rPr>
      <t xml:space="preserve">버튼 스타일을 쓰는가</t>
    </r>
  </si>
  <si>
    <r>
      <rPr>
        <sz val="9"/>
        <color rgb="FF1D1D1F"/>
        <rFont val="Noto Sans CJK SC"/>
        <family val="2"/>
      </rPr>
      <t xml:space="preserve">흐름을 끊는 </t>
    </r>
    <r>
      <rPr>
        <sz val="9"/>
        <color rgb="FF1D1D1F"/>
        <rFont val="맑은 고딕"/>
        <family val="0"/>
        <charset val="1"/>
      </rPr>
      <t xml:space="preserve">alert </t>
    </r>
    <r>
      <rPr>
        <sz val="9"/>
        <color rgb="FF1D1D1F"/>
        <rFont val="Noto Sans CJK SC"/>
        <family val="2"/>
      </rPr>
      <t xml:space="preserve">금지</t>
    </r>
  </si>
  <si>
    <t xml:space="preserve">확인을 눌러야 하는 창 대신 모서리 알림을 쓰는가</t>
  </si>
  <si>
    <t xml:space="preserve">화면 사이 링크</t>
  </si>
  <si>
    <t xml:space="preserve">없는 파일을 가리키는 링크가 없는가</t>
  </si>
  <si>
    <t xml:space="preserve">인라인 스크립트 문법</t>
  </si>
  <si>
    <r>
      <rPr>
        <sz val="9"/>
        <color rgb="FF6E6E73"/>
        <rFont val="Noto Sans CJK SC"/>
        <family val="2"/>
      </rPr>
      <t xml:space="preserve">화면 </t>
    </r>
    <r>
      <rPr>
        <sz val="9"/>
        <color rgb="FF6E6E73"/>
        <rFont val="맑은 고딕"/>
        <family val="0"/>
        <charset val="1"/>
      </rPr>
      <t xml:space="preserve">17</t>
    </r>
    <r>
      <rPr>
        <sz val="9"/>
        <color rgb="FF6E6E73"/>
        <rFont val="Noto Sans CJK SC"/>
        <family val="2"/>
      </rPr>
      <t xml:space="preserve">개의 스크립트에 문법 오류가 없는가</t>
    </r>
  </si>
  <si>
    <r>
      <rPr>
        <sz val="9"/>
        <color rgb="FF1D1D1F"/>
        <rFont val="맑은 고딕"/>
        <family val="0"/>
        <charset val="1"/>
      </rPr>
      <t xml:space="preserve">getElementById </t>
    </r>
    <r>
      <rPr>
        <sz val="9"/>
        <color rgb="FF1D1D1F"/>
        <rFont val="Noto Sans CJK SC"/>
        <family val="2"/>
      </rPr>
      <t xml:space="preserve">참조</t>
    </r>
  </si>
  <si>
    <t xml:space="preserve">코드가 찾는 화면 요소가 실제로 존재하는가</t>
  </si>
  <si>
    <r>
      <rPr>
        <b val="true"/>
        <sz val="10"/>
        <color rgb="FF1F7A45"/>
        <rFont val="Noto Sans CJK SC"/>
        <family val="2"/>
      </rPr>
      <t xml:space="preserve">실패 </t>
    </r>
    <r>
      <rPr>
        <b val="true"/>
        <sz val="10"/>
        <color rgb="FF1F7A45"/>
        <rFont val="맑은 고딕"/>
        <family val="0"/>
        <charset val="1"/>
      </rPr>
      <t xml:space="preserve">0</t>
    </r>
    <r>
      <rPr>
        <b val="true"/>
        <sz val="10"/>
        <color rgb="FF1F7A45"/>
        <rFont val="Noto Sans CJK SC"/>
        <family val="2"/>
      </rPr>
      <t xml:space="preserve">건</t>
    </r>
  </si>
  <si>
    <r>
      <rPr>
        <b val="true"/>
        <sz val="9"/>
        <color rgb="FF1F7A45"/>
        <rFont val="Noto Sans CJK SC"/>
        <family val="2"/>
      </rPr>
      <t xml:space="preserve">확인 필요 </t>
    </r>
    <r>
      <rPr>
        <b val="true"/>
        <sz val="9"/>
        <color rgb="FF1F7A45"/>
        <rFont val="맑은 고딕"/>
        <family val="0"/>
        <charset val="1"/>
      </rPr>
      <t xml:space="preserve">0</t>
    </r>
    <r>
      <rPr>
        <b val="true"/>
        <sz val="9"/>
        <color rgb="FF1F7A45"/>
        <rFont val="Noto Sans CJK SC"/>
        <family val="2"/>
      </rPr>
      <t xml:space="preserve">건 — </t>
    </r>
    <r>
      <rPr>
        <b val="true"/>
        <sz val="9"/>
        <color rgb="FF1F7A45"/>
        <rFont val="맑은 고딕"/>
        <family val="0"/>
        <charset val="1"/>
      </rPr>
      <t xml:space="preserve">2026-10-29 </t>
    </r>
    <r>
      <rPr>
        <b val="true"/>
        <sz val="9"/>
        <color rgb="FF1F7A45"/>
        <rFont val="Noto Sans CJK SC"/>
        <family val="2"/>
      </rPr>
      <t xml:space="preserve">기준</t>
    </r>
  </si>
  <si>
    <t xml:space="preserve">자동 점검이 못 잡는 것</t>
  </si>
  <si>
    <t xml:space="preserve">사람이 봐야 하는 영역</t>
  </si>
  <si>
    <t xml:space="preserve">→</t>
  </si>
  <si>
    <r>
      <rPr>
        <sz val="9"/>
        <color rgb="FF1D1D1F"/>
        <rFont val="Noto Sans CJK SC"/>
        <family val="2"/>
      </rPr>
      <t xml:space="preserve">화면이 실제로 그렇게 보이는지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눌렀을 때 의도한 화면으로 가는지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설명이 이해되는지</t>
    </r>
    <r>
      <rPr>
        <sz val="9"/>
        <color rgb="FF1D1D1F"/>
        <rFont val="맑은 고딕"/>
        <family val="0"/>
        <charset val="1"/>
      </rPr>
      <t xml:space="preserve">, </t>
    </r>
    <r>
      <rPr>
        <sz val="9"/>
        <color rgb="FF1D1D1F"/>
        <rFont val="Noto Sans CJK SC"/>
        <family val="2"/>
      </rPr>
      <t xml:space="preserve">권한이 실제로 막히는지</t>
    </r>
    <r>
      <rPr>
        <sz val="9"/>
        <color rgb="FF1D1D1F"/>
        <rFont val="맑은 고딕"/>
        <family val="0"/>
        <charset val="1"/>
      </rPr>
      <t xml:space="preserve">.
</t>
    </r>
    <r>
      <rPr>
        <sz val="9"/>
        <color rgb="FF1D1D1F"/>
        <rFont val="Noto Sans CJK SC"/>
        <family val="2"/>
      </rPr>
      <t xml:space="preserve">그리고 무엇보다 — 이 시스템으로 사업계획을 실제로 세울 수 있는지</t>
    </r>
    <r>
      <rPr>
        <sz val="9"/>
        <color rgb="FF1D1D1F"/>
        <rFont val="맑은 고딕"/>
        <family val="0"/>
        <charset val="1"/>
      </rPr>
      <t xml:space="preserve">. </t>
    </r>
    <r>
      <rPr>
        <sz val="9"/>
        <color rgb="FF1D1D1F"/>
        <rFont val="Noto Sans CJK SC"/>
        <family val="2"/>
      </rPr>
      <t xml:space="preserve">마지막 항목이 업무 흐름 시나리오의 몫입니다</t>
    </r>
    <r>
      <rPr>
        <sz val="9"/>
        <color rgb="FF1D1D1F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</si>
</sst>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1D1F"/>
      <name val="Noto Sans CJK SC"/>
      <family val="2"/>
    </font>
    <font>
      <b val="true"/>
      <sz val="16"/>
      <color rgb="FF1D1D1F"/>
      <name val="맑은 고딕"/>
      <family val="0"/>
      <charset val="1"/>
    </font>
    <font>
      <sz val="9"/>
      <color rgb="FF6E6E73"/>
      <name val="Noto Sans CJK SC"/>
      <family val="2"/>
    </font>
    <font>
      <sz val="9"/>
      <color rgb="FF6E6E73"/>
      <name val="맑은 고딕"/>
      <family val="0"/>
      <charset val="1"/>
    </font>
    <font>
      <b val="true"/>
      <sz val="10"/>
      <color rgb="FF1D1D1F"/>
      <name val="Noto Sans CJK SC"/>
      <family val="2"/>
    </font>
    <font>
      <sz val="10"/>
      <color rgb="FF1D1D1F"/>
      <name val="맑은 고딕"/>
      <family val="0"/>
      <charset val="1"/>
    </font>
    <font>
      <sz val="10"/>
      <color rgb="FF1D1D1F"/>
      <name val="Noto Sans CJK SC"/>
      <family val="2"/>
    </font>
    <font>
      <b val="true"/>
      <sz val="13"/>
      <color rgb="FF1D1D1F"/>
      <name val="Noto Sans CJK SC"/>
      <family val="2"/>
    </font>
    <font>
      <b val="true"/>
      <sz val="13"/>
      <color rgb="FF1D1D1F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1D1D1F"/>
      <name val="맑은 고딕"/>
      <family val="0"/>
      <charset val="1"/>
    </font>
    <font>
      <sz val="9"/>
      <color rgb="FF1D1D1F"/>
      <name val="Noto Sans CJK SC"/>
      <family val="2"/>
    </font>
    <font>
      <sz val="9"/>
      <color rgb="FF1D1D1F"/>
      <name val="맑은 고딕"/>
      <family val="0"/>
      <charset val="1"/>
    </font>
    <font>
      <sz val="9"/>
      <color rgb="FFB9821F"/>
      <name val="Noto Sans CJK SC"/>
      <family val="2"/>
    </font>
    <font>
      <sz val="9"/>
      <color rgb="FFB9821F"/>
      <name val="맑은 고딕"/>
      <family val="0"/>
      <charset val="1"/>
    </font>
    <font>
      <b val="true"/>
      <sz val="11"/>
      <color rgb="FF1D1D1F"/>
      <name val="Noto Sans CJK SC"/>
      <family val="2"/>
    </font>
    <font>
      <b val="true"/>
      <sz val="11"/>
      <color rgb="FF1D1D1F"/>
      <name val="맑은 고딕"/>
      <family val="0"/>
      <charset val="1"/>
    </font>
    <font>
      <b val="true"/>
      <sz val="9"/>
      <color rgb="FF1D1D1F"/>
      <name val="맑은 고딕"/>
      <family val="0"/>
      <charset val="1"/>
    </font>
    <font>
      <b val="true"/>
      <sz val="9"/>
      <color rgb="FF1D1D1F"/>
      <name val="Noto Sans CJK SC"/>
      <family val="2"/>
    </font>
    <font>
      <sz val="9"/>
      <color rgb="FF8A6D1F"/>
      <name val="Noto Sans CJK SC"/>
      <family val="2"/>
    </font>
    <font>
      <sz val="9"/>
      <color rgb="FF8A6D1F"/>
      <name val="맑은 고딕"/>
      <family val="0"/>
      <charset val="1"/>
    </font>
    <font>
      <b val="true"/>
      <sz val="12"/>
      <color rgb="FF1D1D1F"/>
      <name val="Noto Sans CJK SC"/>
      <family val="2"/>
    </font>
    <font>
      <b val="true"/>
      <sz val="12"/>
      <color rgb="FF1D1D1F"/>
      <name val="맑은 고딕"/>
      <family val="0"/>
      <charset val="1"/>
    </font>
    <font>
      <b val="true"/>
      <sz val="9"/>
      <color rgb="FF4C6FA5"/>
      <name val="Noto Sans CJK SC"/>
      <family val="2"/>
    </font>
    <font>
      <i val="true"/>
      <sz val="9"/>
      <color rgb="FF8E8E93"/>
      <name val="맑은 고딕"/>
      <family val="0"/>
      <charset val="1"/>
    </font>
    <font>
      <i val="true"/>
      <sz val="9"/>
      <color rgb="FF8E8E93"/>
      <name val="Noto Sans CJK SC"/>
      <family val="2"/>
    </font>
    <font>
      <b val="true"/>
      <sz val="14"/>
      <color rgb="FF1D1D1F"/>
      <name val="Noto Sans CJK SC"/>
      <family val="2"/>
    </font>
    <font>
      <b val="true"/>
      <sz val="10"/>
      <color rgb="FF1F7A45"/>
      <name val="맑은 고딕"/>
      <family val="0"/>
      <charset val="1"/>
    </font>
    <font>
      <b val="true"/>
      <sz val="9"/>
      <color rgb="FF1F7A45"/>
      <name val="Noto Sans CJK SC"/>
      <family val="2"/>
    </font>
    <font>
      <b val="true"/>
      <sz val="9"/>
      <color rgb="FF1F7A45"/>
      <name val="맑은 고딕"/>
      <family val="0"/>
      <charset val="1"/>
    </font>
    <font>
      <b val="true"/>
      <sz val="10"/>
      <color rgb="FF1F7A45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EEF0F4"/>
        <bgColor rgb="FFF0F0F2"/>
      </patternFill>
    </fill>
    <fill>
      <patternFill patternType="solid">
        <fgColor rgb="FF3A4356"/>
        <bgColor rgb="FF333399"/>
      </patternFill>
    </fill>
    <fill>
      <patternFill patternType="solid">
        <fgColor rgb="FFFFF8E1"/>
        <bgColor rgb="FFFAF1DE"/>
      </patternFill>
    </fill>
    <fill>
      <patternFill patternType="solid">
        <fgColor rgb="FFF7F7F8"/>
        <bgColor rgb="FFFFF1F0"/>
      </patternFill>
    </fill>
    <fill>
      <patternFill patternType="solid">
        <fgColor rgb="FF4C6FA5"/>
        <bgColor rgb="FF6E6E73"/>
      </patternFill>
    </fill>
    <fill>
      <patternFill patternType="solid">
        <fgColor rgb="FFFAF1DE"/>
        <bgColor rgb="FFFFF8E1"/>
      </patternFill>
    </fill>
    <fill>
      <patternFill patternType="solid">
        <fgColor rgb="FFEAF0F8"/>
        <bgColor rgb="FFEEF0F4"/>
      </patternFill>
    </fill>
    <fill>
      <patternFill patternType="solid">
        <fgColor rgb="FFE7F5EC"/>
        <bgColor rgb="FFEAF0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8DC"/>
      </left>
      <right style="thin">
        <color rgb="FFD8D8DC"/>
      </right>
      <top style="thin">
        <color rgb="FFD8D8DC"/>
      </top>
      <bottom style="thin">
        <color rgb="FFD8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ont>
        <name val="맑은 고딕"/>
        <charset val="1"/>
        <family val="0"/>
        <b val="1"/>
        <color rgb="FF1F7A45"/>
      </font>
      <fill>
        <patternFill>
          <bgColor rgb="FFE7F5EC"/>
        </patternFill>
      </fill>
    </dxf>
    <dxf>
      <font>
        <name val="맑은 고딕"/>
        <charset val="1"/>
        <family val="0"/>
        <b val="1"/>
        <color rgb="FFA93A2C"/>
      </font>
      <fill>
        <patternFill>
          <bgColor rgb="FFFBEAE7"/>
        </patternFill>
      </fill>
    </dxf>
    <dxf>
      <font>
        <name val="맑은 고딕"/>
        <charset val="1"/>
        <family val="0"/>
        <color rgb="FF8E8E93"/>
      </font>
      <fill>
        <patternFill>
          <bgColor rgb="FFF0F0F2"/>
        </patternFill>
      </fill>
    </dxf>
    <dxf>
      <font>
        <name val="맑은 고딕"/>
        <charset val="1"/>
        <family val="0"/>
        <b val="1"/>
        <color rgb="FFB9821F"/>
      </font>
      <fill>
        <patternFill>
          <bgColor rgb="FFFAF1DE"/>
        </patternFill>
      </fill>
    </dxf>
    <dxf>
      <fill>
        <patternFill patternType="solid">
          <fgColor rgb="FF3A4356"/>
          <bgColor rgb="FF000000"/>
        </patternFill>
      </fill>
    </dxf>
    <dxf>
      <fill>
        <patternFill patternType="solid">
          <fgColor rgb="FFF7F7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D1D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AF0F8"/>
          <bgColor rgb="FF000000"/>
        </patternFill>
      </fill>
    </dxf>
    <dxf>
      <fill>
        <patternFill patternType="solid">
          <fgColor rgb="FF4C6FA5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>
          <bgColor rgb="FFFFF1F0"/>
        </patternFill>
      </fill>
    </dxf>
    <dxf>
      <fill>
        <patternFill patternType="solid">
          <fgColor rgb="FF8E8E93"/>
          <bgColor rgb="FF000000"/>
        </patternFill>
      </fill>
    </dxf>
    <dxf>
      <font>
        <name val="맑은 고딕"/>
        <charset val="1"/>
        <family val="0"/>
        <b val="1"/>
        <color rgb="FFA93A2C"/>
        <sz val="9"/>
      </font>
      <fill>
        <patternFill>
          <bgColor rgb="FFFBEAE7"/>
        </patternFill>
      </fill>
    </dxf>
    <dxf>
      <font>
        <name val="맑은 고딕"/>
        <charset val="1"/>
        <family val="0"/>
        <b val="1"/>
        <color rgb="FF1F7A45"/>
        <sz val="9"/>
      </font>
      <fill>
        <patternFill>
          <bgColor rgb="FFE7F5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F"/>
      <rgbColor rgb="FF800080"/>
      <rgbColor rgb="FF1F7A45"/>
      <rgbColor rgb="FFF0F0F2"/>
      <rgbColor rgb="FF808080"/>
      <rgbColor rgb="FF9999FF"/>
      <rgbColor rgb="FF993366"/>
      <rgbColor rgb="FFFFF8E1"/>
      <rgbColor rgb="FFE7F5EC"/>
      <rgbColor rgb="FF660066"/>
      <rgbColor rgb="FFFF8080"/>
      <rgbColor rgb="FF0066CC"/>
      <rgbColor rgb="FFD8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8"/>
      <rgbColor rgb="FFEEF0F4"/>
      <rgbColor rgb="FFFAF1DE"/>
      <rgbColor rgb="FFF7F7F8"/>
      <rgbColor rgb="FFFFF1F0"/>
      <rgbColor rgb="FFCC99FF"/>
      <rgbColor rgb="FFFBEAE7"/>
      <rgbColor rgb="FF4C6FA5"/>
      <rgbColor rgb="FF33CCCC"/>
      <rgbColor rgb="FF99CC00"/>
      <rgbColor rgb="FFFFCC00"/>
      <rgbColor rgb="FFB9821F"/>
      <rgbColor rgb="FFFF6600"/>
      <rgbColor rgb="FF6E6E73"/>
      <rgbColor rgb="FF8E8E93"/>
      <rgbColor rgb="FF003366"/>
      <rgbColor rgb="FF339966"/>
      <rgbColor rgb="FF003300"/>
      <rgbColor rgb="FF1D1D1F"/>
      <rgbColor rgb="FFA93A2C"/>
      <rgbColor rgb="FF993366"/>
      <rgbColor rgb="FF333399"/>
      <rgbColor rgb="FF3A43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12"/>
  </cols>
  <sheetData>
    <row r="2" customFormat="false" ht="23.85" hidden="false" customHeight="true" outlineLevel="0" collapsed="false">
      <c r="B2" s="1" t="s">
        <v>0</v>
      </c>
      <c r="C2" s="1"/>
    </row>
    <row r="3" customFormat="false" ht="15" hidden="false" customHeight="true" outlineLevel="0" collapsed="false">
      <c r="B3" s="2" t="s">
        <v>1</v>
      </c>
      <c r="C3" s="2"/>
    </row>
    <row r="5" customFormat="false" ht="22.5" hidden="false" customHeight="true" outlineLevel="0" collapsed="false">
      <c r="B5" s="3" t="s">
        <v>2</v>
      </c>
      <c r="C5" s="4" t="s">
        <v>3</v>
      </c>
    </row>
    <row r="6" customFormat="false" ht="67.5" hidden="false" customHeight="true" outlineLevel="0" collapsed="false">
      <c r="B6" s="3" t="s">
        <v>4</v>
      </c>
      <c r="C6" s="5" t="s">
        <v>5</v>
      </c>
    </row>
    <row r="7" customFormat="false" ht="52.5" hidden="false" customHeight="true" outlineLevel="0" collapsed="false">
      <c r="B7" s="3" t="s">
        <v>6</v>
      </c>
      <c r="C7" s="5" t="s">
        <v>7</v>
      </c>
    </row>
    <row r="8" customFormat="false" ht="97.5" hidden="false" customHeight="true" outlineLevel="0" collapsed="false">
      <c r="B8" s="3" t="s">
        <v>8</v>
      </c>
      <c r="C8" s="5" t="s">
        <v>9</v>
      </c>
    </row>
    <row r="9" customFormat="false" ht="67.5" hidden="false" customHeight="true" outlineLevel="0" collapsed="false">
      <c r="B9" s="3" t="s">
        <v>10</v>
      </c>
      <c r="C9" s="5" t="s">
        <v>11</v>
      </c>
    </row>
    <row r="10" customFormat="false" ht="52.5" hidden="false" customHeight="true" outlineLevel="0" collapsed="false">
      <c r="B10" s="3" t="s">
        <v>12</v>
      </c>
      <c r="C10" s="5" t="s">
        <v>13</v>
      </c>
    </row>
    <row r="11" customFormat="false" ht="67.5" hidden="false" customHeight="true" outlineLevel="0" collapsed="false">
      <c r="B11" s="3" t="s">
        <v>14</v>
      </c>
      <c r="C11" s="4" t="s">
        <v>15</v>
      </c>
    </row>
    <row r="12" customFormat="false" ht="67.5" hidden="false" customHeight="true" outlineLevel="0" collapsed="false">
      <c r="B12" s="3" t="s">
        <v>16</v>
      </c>
      <c r="C12" s="5" t="s">
        <v>17</v>
      </c>
    </row>
    <row r="13" customFormat="false" ht="67.5" hidden="false" customHeight="true" outlineLevel="0" collapsed="false">
      <c r="B13" s="3" t="s">
        <v>18</v>
      </c>
      <c r="C13" s="5" t="s">
        <v>19</v>
      </c>
    </row>
    <row r="14" customFormat="false" ht="22.5" hidden="false" customHeight="true" outlineLevel="0" collapsed="false">
      <c r="B14" s="3" t="s">
        <v>20</v>
      </c>
      <c r="C14" s="5" t="s">
        <v>21</v>
      </c>
    </row>
    <row r="16" customFormat="false" ht="15" hidden="false" customHeight="false" outlineLevel="0" collapsed="false">
      <c r="B16" s="3" t="s">
        <v>22</v>
      </c>
      <c r="C16" s="5" t="s">
        <v>23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28"/>
    <col collapsed="false" customWidth="true" hidden="false" outlineLevel="0" max="6" min="6" style="0" width="58"/>
    <col collapsed="false" customWidth="true" hidden="false" outlineLevel="0" max="7" min="7" style="0" width="40"/>
    <col collapsed="false" customWidth="true" hidden="false" outlineLevel="0" max="10" min="8" style="0" width="7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26"/>
  </cols>
  <sheetData>
    <row r="1" customFormat="false" ht="25.5" hidden="false" customHeight="true" outlineLevel="0" collapsed="false">
      <c r="A1" s="6" t="s">
        <v>24</v>
      </c>
      <c r="B1" s="6"/>
      <c r="C1" s="6"/>
      <c r="D1" s="6"/>
      <c r="E1" s="6"/>
      <c r="F1" s="6"/>
      <c r="G1" s="6"/>
      <c r="H1" s="7" t="s">
        <v>25</v>
      </c>
      <c r="I1" s="7"/>
      <c r="J1" s="7"/>
      <c r="K1" s="7"/>
      <c r="L1" s="7"/>
      <c r="M1" s="7"/>
      <c r="N1" s="7"/>
    </row>
    <row r="2" customFormat="false" ht="30" hidden="false" customHeight="true" outlineLevel="0" collapsed="false">
      <c r="A2" s="8" t="s">
        <v>26</v>
      </c>
      <c r="B2" s="8" t="s">
        <v>27</v>
      </c>
      <c r="C2" s="8" t="s">
        <v>28</v>
      </c>
      <c r="D2" s="8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9" t="s">
        <v>34</v>
      </c>
      <c r="J2" s="9" t="s">
        <v>35</v>
      </c>
      <c r="K2" s="8" t="s">
        <v>36</v>
      </c>
      <c r="L2" s="8" t="s">
        <v>37</v>
      </c>
      <c r="M2" s="8" t="s">
        <v>38</v>
      </c>
      <c r="N2" s="8" t="s">
        <v>39</v>
      </c>
    </row>
    <row r="3" customFormat="false" ht="81.75" hidden="false" customHeight="true" outlineLevel="0" collapsed="false">
      <c r="A3" s="10" t="s">
        <v>40</v>
      </c>
      <c r="B3" s="11" t="s">
        <v>41</v>
      </c>
      <c r="C3" s="12" t="s">
        <v>42</v>
      </c>
      <c r="D3" s="13" t="s">
        <v>43</v>
      </c>
      <c r="E3" s="11" t="s">
        <v>44</v>
      </c>
      <c r="F3" s="11" t="s">
        <v>45</v>
      </c>
      <c r="G3" s="14" t="s">
        <v>46</v>
      </c>
      <c r="H3" s="15" t="n">
        <f aca="false">COUNTIF(확인항목!$A:$A,$A3)</f>
        <v>5</v>
      </c>
      <c r="I3" s="15" t="n">
        <f aca="false">COUNTIFS(확인항목!$A:$A,$A3,확인항목!$G:$G,"PASS")</f>
        <v>0</v>
      </c>
      <c r="J3" s="15" t="n">
        <f aca="false">COUNTIFS(확인항목!$A:$A,$A3,확인항목!$G:$G,"FAIL")</f>
        <v>0</v>
      </c>
      <c r="K3" s="15" t="n">
        <f aca="false">COUNTIFS(확인항목!$A:$A,$A3,확인항목!$G:$G,"")</f>
        <v>5</v>
      </c>
      <c r="L3" s="16" t="str">
        <f aca="false">IF($J3&gt;0,"FAIL",IF($H3=0,"-",IF($K3=$H3,"미착수",IF($I3=$H3,"PASS","진행중"))))</f>
        <v>미착수</v>
      </c>
      <c r="M3" s="17"/>
      <c r="N3" s="18"/>
    </row>
    <row r="4" customFormat="false" ht="72" hidden="false" customHeight="true" outlineLevel="0" collapsed="false">
      <c r="A4" s="19" t="s">
        <v>47</v>
      </c>
      <c r="B4" s="20" t="s">
        <v>48</v>
      </c>
      <c r="C4" s="21" t="s">
        <v>49</v>
      </c>
      <c r="D4" s="22" t="s">
        <v>50</v>
      </c>
      <c r="E4" s="20" t="s">
        <v>51</v>
      </c>
      <c r="F4" s="20" t="s">
        <v>52</v>
      </c>
      <c r="G4" s="23" t="s">
        <v>53</v>
      </c>
      <c r="H4" s="24" t="n">
        <f aca="false">COUNTIF(확인항목!$A:$A,$A4)</f>
        <v>5</v>
      </c>
      <c r="I4" s="24" t="n">
        <f aca="false">COUNTIFS(확인항목!$A:$A,$A4,확인항목!$G:$G,"PASS")</f>
        <v>0</v>
      </c>
      <c r="J4" s="24" t="n">
        <f aca="false">COUNTIFS(확인항목!$A:$A,$A4,확인항목!$G:$G,"FAIL")</f>
        <v>0</v>
      </c>
      <c r="K4" s="24" t="n">
        <f aca="false">COUNTIFS(확인항목!$A:$A,$A4,확인항목!$G:$G,"")</f>
        <v>5</v>
      </c>
      <c r="L4" s="25" t="str">
        <f aca="false">IF($J4&gt;0,"FAIL",IF($H4=0,"-",IF($K4=$H4,"미착수",IF($I4=$H4,"PASS","진행중"))))</f>
        <v>미착수</v>
      </c>
      <c r="M4" s="17"/>
      <c r="N4" s="18"/>
    </row>
    <row r="5" customFormat="false" ht="81.75" hidden="false" customHeight="true" outlineLevel="0" collapsed="false">
      <c r="A5" s="10" t="s">
        <v>54</v>
      </c>
      <c r="B5" s="11" t="s">
        <v>55</v>
      </c>
      <c r="C5" s="12" t="s">
        <v>56</v>
      </c>
      <c r="D5" s="13" t="s">
        <v>57</v>
      </c>
      <c r="E5" s="11" t="s">
        <v>58</v>
      </c>
      <c r="F5" s="26" t="s">
        <v>59</v>
      </c>
      <c r="G5" s="14" t="s">
        <v>60</v>
      </c>
      <c r="H5" s="15" t="n">
        <f aca="false">COUNTIF(확인항목!$A:$A,$A5)</f>
        <v>5</v>
      </c>
      <c r="I5" s="15" t="n">
        <f aca="false">COUNTIFS(확인항목!$A:$A,$A5,확인항목!$G:$G,"PASS")</f>
        <v>0</v>
      </c>
      <c r="J5" s="15" t="n">
        <f aca="false">COUNTIFS(확인항목!$A:$A,$A5,확인항목!$G:$G,"FAIL")</f>
        <v>0</v>
      </c>
      <c r="K5" s="15" t="n">
        <f aca="false">COUNTIFS(확인항목!$A:$A,$A5,확인항목!$G:$G,"")</f>
        <v>5</v>
      </c>
      <c r="L5" s="16" t="str">
        <f aca="false">IF($J5&gt;0,"FAIL",IF($H5=0,"-",IF($K5=$H5,"미착수",IF($I5=$H5,"PASS","진행중"))))</f>
        <v>미착수</v>
      </c>
      <c r="M5" s="17"/>
      <c r="N5" s="18"/>
    </row>
    <row r="6" customFormat="false" ht="93.75" hidden="false" customHeight="true" outlineLevel="0" collapsed="false">
      <c r="A6" s="19" t="s">
        <v>61</v>
      </c>
      <c r="B6" s="20" t="s">
        <v>62</v>
      </c>
      <c r="C6" s="21" t="s">
        <v>63</v>
      </c>
      <c r="D6" s="22" t="s">
        <v>64</v>
      </c>
      <c r="E6" s="20" t="s">
        <v>65</v>
      </c>
      <c r="F6" s="27" t="s">
        <v>66</v>
      </c>
      <c r="G6" s="23" t="s">
        <v>67</v>
      </c>
      <c r="H6" s="24" t="n">
        <f aca="false">COUNTIF(확인항목!$A:$A,$A6)</f>
        <v>7</v>
      </c>
      <c r="I6" s="24" t="n">
        <f aca="false">COUNTIFS(확인항목!$A:$A,$A6,확인항목!$G:$G,"PASS")</f>
        <v>0</v>
      </c>
      <c r="J6" s="24" t="n">
        <f aca="false">COUNTIFS(확인항목!$A:$A,$A6,확인항목!$G:$G,"FAIL")</f>
        <v>0</v>
      </c>
      <c r="K6" s="24" t="n">
        <f aca="false">COUNTIFS(확인항목!$A:$A,$A6,확인항목!$G:$G,"")</f>
        <v>7</v>
      </c>
      <c r="L6" s="25" t="str">
        <f aca="false">IF($J6&gt;0,"FAIL",IF($H6=0,"-",IF($K6=$H6,"미착수",IF($I6=$H6,"PASS","진행중"))))</f>
        <v>미착수</v>
      </c>
      <c r="M6" s="17"/>
      <c r="N6" s="18"/>
    </row>
    <row r="7" customFormat="false" ht="93.75" hidden="false" customHeight="true" outlineLevel="0" collapsed="false">
      <c r="A7" s="10" t="s">
        <v>68</v>
      </c>
      <c r="B7" s="11" t="s">
        <v>69</v>
      </c>
      <c r="C7" s="12" t="s">
        <v>70</v>
      </c>
      <c r="D7" s="13" t="s">
        <v>71</v>
      </c>
      <c r="E7" s="11" t="s">
        <v>72</v>
      </c>
      <c r="F7" s="26" t="s">
        <v>73</v>
      </c>
      <c r="G7" s="14" t="s">
        <v>74</v>
      </c>
      <c r="H7" s="15" t="n">
        <f aca="false">COUNTIF(확인항목!$A:$A,$A7)</f>
        <v>6</v>
      </c>
      <c r="I7" s="15" t="n">
        <f aca="false">COUNTIFS(확인항목!$A:$A,$A7,확인항목!$G:$G,"PASS")</f>
        <v>0</v>
      </c>
      <c r="J7" s="15" t="n">
        <f aca="false">COUNTIFS(확인항목!$A:$A,$A7,확인항목!$G:$G,"FAIL")</f>
        <v>0</v>
      </c>
      <c r="K7" s="15" t="n">
        <f aca="false">COUNTIFS(확인항목!$A:$A,$A7,확인항목!$G:$G,"")</f>
        <v>6</v>
      </c>
      <c r="L7" s="16" t="str">
        <f aca="false">IF($J7&gt;0,"FAIL",IF($H7=0,"-",IF($K7=$H7,"미착수",IF($I7=$H7,"PASS","진행중"))))</f>
        <v>미착수</v>
      </c>
      <c r="M7" s="17"/>
      <c r="N7" s="18"/>
    </row>
    <row r="8" customFormat="false" ht="81.75" hidden="false" customHeight="true" outlineLevel="0" collapsed="false">
      <c r="A8" s="19" t="s">
        <v>75</v>
      </c>
      <c r="B8" s="20" t="s">
        <v>76</v>
      </c>
      <c r="C8" s="21" t="s">
        <v>77</v>
      </c>
      <c r="D8" s="22" t="s">
        <v>78</v>
      </c>
      <c r="E8" s="20" t="s">
        <v>79</v>
      </c>
      <c r="F8" s="27" t="s">
        <v>80</v>
      </c>
      <c r="G8" s="23" t="s">
        <v>81</v>
      </c>
      <c r="H8" s="24" t="n">
        <f aca="false">COUNTIF(확인항목!$A:$A,$A8)</f>
        <v>4</v>
      </c>
      <c r="I8" s="24" t="n">
        <f aca="false">COUNTIFS(확인항목!$A:$A,$A8,확인항목!$G:$G,"PASS")</f>
        <v>0</v>
      </c>
      <c r="J8" s="24" t="n">
        <f aca="false">COUNTIFS(확인항목!$A:$A,$A8,확인항목!$G:$G,"FAIL")</f>
        <v>0</v>
      </c>
      <c r="K8" s="24" t="n">
        <f aca="false">COUNTIFS(확인항목!$A:$A,$A8,확인항목!$G:$G,"")</f>
        <v>4</v>
      </c>
      <c r="L8" s="25" t="str">
        <f aca="false">IF($J8&gt;0,"FAIL",IF($H8=0,"-",IF($K8=$H8,"미착수",IF($I8=$H8,"PASS","진행중"))))</f>
        <v>미착수</v>
      </c>
      <c r="M8" s="17"/>
      <c r="N8" s="18"/>
    </row>
    <row r="9" customFormat="false" ht="93.75" hidden="false" customHeight="true" outlineLevel="0" collapsed="false">
      <c r="A9" s="10" t="s">
        <v>82</v>
      </c>
      <c r="B9" s="11" t="s">
        <v>83</v>
      </c>
      <c r="C9" s="12" t="s">
        <v>84</v>
      </c>
      <c r="D9" s="28" t="s">
        <v>85</v>
      </c>
      <c r="E9" s="26" t="s">
        <v>86</v>
      </c>
      <c r="F9" s="11" t="s">
        <v>87</v>
      </c>
      <c r="G9" s="14" t="s">
        <v>88</v>
      </c>
      <c r="H9" s="15" t="n">
        <f aca="false">COUNTIF(확인항목!$A:$A,$A9)</f>
        <v>6</v>
      </c>
      <c r="I9" s="15" t="n">
        <f aca="false">COUNTIFS(확인항목!$A:$A,$A9,확인항목!$G:$G,"PASS")</f>
        <v>0</v>
      </c>
      <c r="J9" s="15" t="n">
        <f aca="false">COUNTIFS(확인항목!$A:$A,$A9,확인항목!$G:$G,"FAIL")</f>
        <v>0</v>
      </c>
      <c r="K9" s="15" t="n">
        <f aca="false">COUNTIFS(확인항목!$A:$A,$A9,확인항목!$G:$G,"")</f>
        <v>6</v>
      </c>
      <c r="L9" s="16" t="str">
        <f aca="false">IF($J9&gt;0,"FAIL",IF($H9=0,"-",IF($K9=$H9,"미착수",IF($I9=$H9,"PASS","진행중"))))</f>
        <v>미착수</v>
      </c>
      <c r="M9" s="17"/>
      <c r="N9" s="18"/>
    </row>
    <row r="10" customFormat="false" ht="81.75" hidden="false" customHeight="true" outlineLevel="0" collapsed="false">
      <c r="A10" s="19" t="s">
        <v>89</v>
      </c>
      <c r="B10" s="20" t="s">
        <v>90</v>
      </c>
      <c r="C10" s="21" t="s">
        <v>91</v>
      </c>
      <c r="D10" s="22" t="s">
        <v>92</v>
      </c>
      <c r="E10" s="20" t="s">
        <v>93</v>
      </c>
      <c r="F10" s="20" t="s">
        <v>94</v>
      </c>
      <c r="G10" s="23" t="s">
        <v>95</v>
      </c>
      <c r="H10" s="24" t="n">
        <f aca="false">COUNTIF(확인항목!$A:$A,$A10)</f>
        <v>4</v>
      </c>
      <c r="I10" s="24" t="n">
        <f aca="false">COUNTIFS(확인항목!$A:$A,$A10,확인항목!$G:$G,"PASS")</f>
        <v>0</v>
      </c>
      <c r="J10" s="24" t="n">
        <f aca="false">COUNTIFS(확인항목!$A:$A,$A10,확인항목!$G:$G,"FAIL")</f>
        <v>0</v>
      </c>
      <c r="K10" s="24" t="n">
        <f aca="false">COUNTIFS(확인항목!$A:$A,$A10,확인항목!$G:$G,"")</f>
        <v>4</v>
      </c>
      <c r="L10" s="25" t="str">
        <f aca="false">IF($J10&gt;0,"FAIL",IF($H10=0,"-",IF($K10=$H10,"미착수",IF($I10=$H10,"PASS","진행중"))))</f>
        <v>미착수</v>
      </c>
      <c r="M10" s="17"/>
      <c r="N10" s="18"/>
    </row>
    <row r="11" customFormat="false" ht="93.75" hidden="false" customHeight="true" outlineLevel="0" collapsed="false">
      <c r="A11" s="10" t="s">
        <v>96</v>
      </c>
      <c r="B11" s="11" t="s">
        <v>97</v>
      </c>
      <c r="C11" s="12" t="s">
        <v>98</v>
      </c>
      <c r="D11" s="13" t="s">
        <v>99</v>
      </c>
      <c r="E11" s="11" t="s">
        <v>100</v>
      </c>
      <c r="F11" s="11" t="s">
        <v>101</v>
      </c>
      <c r="G11" s="14" t="s">
        <v>102</v>
      </c>
      <c r="H11" s="15" t="n">
        <f aca="false">COUNTIF(확인항목!$A:$A,$A11)</f>
        <v>6</v>
      </c>
      <c r="I11" s="15" t="n">
        <f aca="false">COUNTIFS(확인항목!$A:$A,$A11,확인항목!$G:$G,"PASS")</f>
        <v>0</v>
      </c>
      <c r="J11" s="15" t="n">
        <f aca="false">COUNTIFS(확인항목!$A:$A,$A11,확인항목!$G:$G,"FAIL")</f>
        <v>0</v>
      </c>
      <c r="K11" s="15" t="n">
        <f aca="false">COUNTIFS(확인항목!$A:$A,$A11,확인항목!$G:$G,"")</f>
        <v>6</v>
      </c>
      <c r="L11" s="16" t="str">
        <f aca="false">IF($J11&gt;0,"FAIL",IF($H11=0,"-",IF($K11=$H11,"미착수",IF($I11=$H11,"PASS","진행중"))))</f>
        <v>미착수</v>
      </c>
      <c r="M11" s="17"/>
      <c r="N11" s="18"/>
    </row>
    <row r="12" customFormat="false" ht="93.75" hidden="false" customHeight="true" outlineLevel="0" collapsed="false">
      <c r="A12" s="19" t="s">
        <v>103</v>
      </c>
      <c r="B12" s="20" t="s">
        <v>104</v>
      </c>
      <c r="C12" s="21" t="s">
        <v>105</v>
      </c>
      <c r="D12" s="22" t="s">
        <v>106</v>
      </c>
      <c r="E12" s="20" t="s">
        <v>107</v>
      </c>
      <c r="F12" s="20" t="s">
        <v>108</v>
      </c>
      <c r="G12" s="23" t="s">
        <v>109</v>
      </c>
      <c r="H12" s="24" t="n">
        <f aca="false">COUNTIF(확인항목!$A:$A,$A12)</f>
        <v>6</v>
      </c>
      <c r="I12" s="24" t="n">
        <f aca="false">COUNTIFS(확인항목!$A:$A,$A12,확인항목!$G:$G,"PASS")</f>
        <v>0</v>
      </c>
      <c r="J12" s="24" t="n">
        <f aca="false">COUNTIFS(확인항목!$A:$A,$A12,확인항목!$G:$G,"FAIL")</f>
        <v>0</v>
      </c>
      <c r="K12" s="24" t="n">
        <f aca="false">COUNTIFS(확인항목!$A:$A,$A12,확인항목!$G:$G,"")</f>
        <v>6</v>
      </c>
      <c r="L12" s="25" t="str">
        <f aca="false">IF($J12&gt;0,"FAIL",IF($H12=0,"-",IF($K12=$H12,"미착수",IF($I12=$H12,"PASS","진행중"))))</f>
        <v>미착수</v>
      </c>
      <c r="M12" s="17"/>
      <c r="N12" s="18"/>
    </row>
  </sheetData>
  <mergeCells count="2">
    <mergeCell ref="A1:G1"/>
    <mergeCell ref="H1:N1"/>
  </mergeCells>
  <conditionalFormatting sqref="I3:I12">
    <cfRule type="cellIs" priority="2" operator="equal" aboveAverage="0" equalAverage="0" bottom="0" percent="0" rank="0" text="" dxfId="0">
      <formula>"PASS"</formula>
    </cfRule>
  </conditionalFormatting>
  <conditionalFormatting sqref="L3:L12">
    <cfRule type="cellIs" priority="3" operator="equal" aboveAverage="0" equalAverage="0" bottom="0" percent="0" rank="0" text="" dxfId="0">
      <formula>"PASS"</formula>
    </cfRule>
    <cfRule type="cellIs" priority="4" operator="equal" aboveAverage="0" equalAverage="0" bottom="0" percent="0" rank="0" text="" dxfId="1">
      <formula>"FAIL"</formula>
    </cfRule>
    <cfRule type="cellIs" priority="5" operator="equal" aboveAverage="0" equalAverage="0" bottom="0" percent="0" rank="0" text="" dxfId="2">
      <formula>"미착수"</formula>
    </cfRule>
    <cfRule type="cellIs" priority="6" operator="equal" aboveAverage="0" equalAverage="0" bottom="0" percent="0" rank="0" text="" dxfId="3">
      <formula>"진행중"</formula>
    </cfRule>
  </conditionalFormatting>
  <conditionalFormatting sqref="J3:J12">
    <cfRule type="cellIs" priority="7" operator="equal" aboveAverage="0" equalAverage="0" bottom="0" percent="0" rank="0" text="" dxfId="1">
      <formula>"FAIL"</formula>
    </cfRule>
    <cfRule type="cellIs" priority="8" operator="greaterThan" aboveAverage="0" equalAverage="0" bottom="0" percent="0" rank="0" text="" dxfId="1">
      <formula>0</formula>
    </cfRule>
  </conditionalFormatting>
  <dataValidations count="1">
    <dataValidation allowBlank="true" errorStyle="stop" operator="between" showDropDown="false" showErrorMessage="false" showInputMessage="false" sqref="M3:M12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46"/>
    <col collapsed="false" customWidth="true" hidden="false" outlineLevel="0" max="5" min="5" style="0" width="28"/>
    <col collapsed="false" customWidth="true" hidden="false" outlineLevel="0" max="6" min="6" style="0" width="58"/>
    <col collapsed="false" customWidth="true" hidden="false" outlineLevel="0" max="7" min="7" style="0" width="40"/>
    <col collapsed="false" customWidth="true" hidden="false" outlineLevel="0" max="10" min="8" style="0" width="7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26"/>
  </cols>
  <sheetData>
    <row r="1" customFormat="false" ht="25.5" hidden="false" customHeight="true" outlineLevel="0" collapsed="false">
      <c r="A1" s="6" t="s">
        <v>110</v>
      </c>
      <c r="B1" s="6"/>
      <c r="C1" s="6"/>
      <c r="D1" s="6"/>
      <c r="E1" s="6"/>
      <c r="F1" s="6"/>
      <c r="G1" s="6"/>
      <c r="H1" s="7" t="s">
        <v>25</v>
      </c>
      <c r="I1" s="7"/>
      <c r="J1" s="7"/>
      <c r="K1" s="7"/>
      <c r="L1" s="7"/>
      <c r="M1" s="7"/>
      <c r="N1" s="7"/>
    </row>
    <row r="2" customFormat="false" ht="30" hidden="false" customHeight="true" outlineLevel="0" collapsed="false">
      <c r="A2" s="8" t="s">
        <v>26</v>
      </c>
      <c r="B2" s="8" t="s">
        <v>27</v>
      </c>
      <c r="C2" s="8" t="s">
        <v>28</v>
      </c>
      <c r="D2" s="8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9" t="s">
        <v>34</v>
      </c>
      <c r="J2" s="9" t="s">
        <v>35</v>
      </c>
      <c r="K2" s="8" t="s">
        <v>36</v>
      </c>
      <c r="L2" s="8" t="s">
        <v>37</v>
      </c>
      <c r="M2" s="8" t="s">
        <v>38</v>
      </c>
      <c r="N2" s="8" t="s">
        <v>39</v>
      </c>
    </row>
    <row r="3" customFormat="false" ht="81.75" hidden="false" customHeight="true" outlineLevel="0" collapsed="false">
      <c r="A3" s="10" t="s">
        <v>111</v>
      </c>
      <c r="B3" s="11" t="s">
        <v>41</v>
      </c>
      <c r="C3" s="12" t="s">
        <v>42</v>
      </c>
      <c r="D3" s="13" t="s">
        <v>43</v>
      </c>
      <c r="E3" s="11" t="s">
        <v>112</v>
      </c>
      <c r="F3" s="11" t="s">
        <v>45</v>
      </c>
      <c r="G3" s="14" t="s">
        <v>113</v>
      </c>
      <c r="H3" s="15" t="n">
        <f aca="false">COUNTIF(확인항목!$A:$A,$A3)</f>
        <v>5</v>
      </c>
      <c r="I3" s="15" t="n">
        <f aca="false">COUNTIFS(확인항목!$A:$A,$A3,확인항목!$G:$G,"PASS")</f>
        <v>0</v>
      </c>
      <c r="J3" s="15" t="n">
        <f aca="false">COUNTIFS(확인항목!$A:$A,$A3,확인항목!$G:$G,"FAIL")</f>
        <v>0</v>
      </c>
      <c r="K3" s="15" t="n">
        <f aca="false">COUNTIFS(확인항목!$A:$A,$A3,확인항목!$G:$G,"")</f>
        <v>5</v>
      </c>
      <c r="L3" s="16" t="str">
        <f aca="false">IF($J3&gt;0,"FAIL",IF($H3=0,"-",IF($K3=$H3,"미착수",IF($I3=$H3,"PASS","진행중"))))</f>
        <v>미착수</v>
      </c>
      <c r="M3" s="17"/>
      <c r="N3" s="18"/>
    </row>
    <row r="4" customFormat="false" ht="81.75" hidden="false" customHeight="true" outlineLevel="0" collapsed="false">
      <c r="A4" s="19" t="s">
        <v>114</v>
      </c>
      <c r="B4" s="20" t="s">
        <v>48</v>
      </c>
      <c r="C4" s="29" t="s">
        <v>115</v>
      </c>
      <c r="D4" s="22" t="s">
        <v>116</v>
      </c>
      <c r="E4" s="20" t="s">
        <v>117</v>
      </c>
      <c r="F4" s="20" t="s">
        <v>118</v>
      </c>
      <c r="G4" s="23" t="s">
        <v>119</v>
      </c>
      <c r="H4" s="24" t="n">
        <f aca="false">COUNTIF(확인항목!$A:$A,$A4)</f>
        <v>5</v>
      </c>
      <c r="I4" s="24" t="n">
        <f aca="false">COUNTIFS(확인항목!$A:$A,$A4,확인항목!$G:$G,"PASS")</f>
        <v>0</v>
      </c>
      <c r="J4" s="24" t="n">
        <f aca="false">COUNTIFS(확인항목!$A:$A,$A4,확인항목!$G:$G,"FAIL")</f>
        <v>0</v>
      </c>
      <c r="K4" s="24" t="n">
        <f aca="false">COUNTIFS(확인항목!$A:$A,$A4,확인항목!$G:$G,"")</f>
        <v>5</v>
      </c>
      <c r="L4" s="25" t="str">
        <f aca="false">IF($J4&gt;0,"FAIL",IF($H4=0,"-",IF($K4=$H4,"미착수",IF($I4=$H4,"PASS","진행중"))))</f>
        <v>미착수</v>
      </c>
      <c r="M4" s="17"/>
      <c r="N4" s="18"/>
    </row>
    <row r="5" customFormat="false" ht="93.75" hidden="false" customHeight="true" outlineLevel="0" collapsed="false">
      <c r="A5" s="10" t="s">
        <v>120</v>
      </c>
      <c r="B5" s="11" t="s">
        <v>62</v>
      </c>
      <c r="C5" s="12" t="s">
        <v>121</v>
      </c>
      <c r="D5" s="13" t="s">
        <v>122</v>
      </c>
      <c r="E5" s="11" t="s">
        <v>65</v>
      </c>
      <c r="F5" s="26" t="s">
        <v>123</v>
      </c>
      <c r="G5" s="14" t="s">
        <v>124</v>
      </c>
      <c r="H5" s="15" t="n">
        <f aca="false">COUNTIF(확인항목!$A:$A,$A5)</f>
        <v>6</v>
      </c>
      <c r="I5" s="15" t="n">
        <f aca="false">COUNTIFS(확인항목!$A:$A,$A5,확인항목!$G:$G,"PASS")</f>
        <v>0</v>
      </c>
      <c r="J5" s="15" t="n">
        <f aca="false">COUNTIFS(확인항목!$A:$A,$A5,확인항목!$G:$G,"FAIL")</f>
        <v>0</v>
      </c>
      <c r="K5" s="15" t="n">
        <f aca="false">COUNTIFS(확인항목!$A:$A,$A5,확인항목!$G:$G,"")</f>
        <v>6</v>
      </c>
      <c r="L5" s="16" t="str">
        <f aca="false">IF($J5&gt;0,"FAIL",IF($H5=0,"-",IF($K5=$H5,"미착수",IF($I5=$H5,"PASS","진행중"))))</f>
        <v>미착수</v>
      </c>
      <c r="M5" s="17"/>
      <c r="N5" s="18"/>
    </row>
    <row r="6" customFormat="false" ht="93.75" hidden="false" customHeight="true" outlineLevel="0" collapsed="false">
      <c r="A6" s="19" t="s">
        <v>125</v>
      </c>
      <c r="B6" s="20" t="s">
        <v>104</v>
      </c>
      <c r="C6" s="21" t="s">
        <v>126</v>
      </c>
      <c r="D6" s="22" t="s">
        <v>127</v>
      </c>
      <c r="E6" s="20" t="s">
        <v>128</v>
      </c>
      <c r="F6" s="20" t="s">
        <v>129</v>
      </c>
      <c r="G6" s="23" t="s">
        <v>130</v>
      </c>
      <c r="H6" s="24" t="n">
        <f aca="false">COUNTIF(확인항목!$A:$A,$A6)</f>
        <v>6</v>
      </c>
      <c r="I6" s="24" t="n">
        <f aca="false">COUNTIFS(확인항목!$A:$A,$A6,확인항목!$G:$G,"PASS")</f>
        <v>0</v>
      </c>
      <c r="J6" s="24" t="n">
        <f aca="false">COUNTIFS(확인항목!$A:$A,$A6,확인항목!$G:$G,"FAIL")</f>
        <v>0</v>
      </c>
      <c r="K6" s="24" t="n">
        <f aca="false">COUNTIFS(확인항목!$A:$A,$A6,확인항목!$G:$G,"")</f>
        <v>6</v>
      </c>
      <c r="L6" s="25" t="str">
        <f aca="false">IF($J6&gt;0,"FAIL",IF($H6=0,"-",IF($K6=$H6,"미착수",IF($I6=$H6,"PASS","진행중"))))</f>
        <v>미착수</v>
      </c>
      <c r="M6" s="17"/>
      <c r="N6" s="18"/>
    </row>
    <row r="7" customFormat="false" ht="117.75" hidden="false" customHeight="true" outlineLevel="0" collapsed="false">
      <c r="A7" s="10" t="s">
        <v>131</v>
      </c>
      <c r="B7" s="11" t="s">
        <v>132</v>
      </c>
      <c r="C7" s="12" t="s">
        <v>133</v>
      </c>
      <c r="D7" s="13" t="s">
        <v>134</v>
      </c>
      <c r="E7" s="11" t="s">
        <v>72</v>
      </c>
      <c r="F7" s="26" t="s">
        <v>135</v>
      </c>
      <c r="G7" s="14" t="s">
        <v>136</v>
      </c>
      <c r="H7" s="15" t="n">
        <f aca="false">COUNTIF(확인항목!$A:$A,$A7)</f>
        <v>7</v>
      </c>
      <c r="I7" s="15" t="n">
        <f aca="false">COUNTIFS(확인항목!$A:$A,$A7,확인항목!$G:$G,"PASS")</f>
        <v>0</v>
      </c>
      <c r="J7" s="15" t="n">
        <f aca="false">COUNTIFS(확인항목!$A:$A,$A7,확인항목!$G:$G,"FAIL")</f>
        <v>0</v>
      </c>
      <c r="K7" s="15" t="n">
        <f aca="false">COUNTIFS(확인항목!$A:$A,$A7,확인항목!$G:$G,"")</f>
        <v>7</v>
      </c>
      <c r="L7" s="16" t="str">
        <f aca="false">IF($J7&gt;0,"FAIL",IF($H7=0,"-",IF($K7=$H7,"미착수",IF($I7=$H7,"PASS","진행중"))))</f>
        <v>미착수</v>
      </c>
      <c r="M7" s="17"/>
      <c r="N7" s="18"/>
    </row>
    <row r="8" customFormat="false" ht="93.75" hidden="false" customHeight="true" outlineLevel="0" collapsed="false">
      <c r="A8" s="19" t="s">
        <v>137</v>
      </c>
      <c r="B8" s="20" t="s">
        <v>138</v>
      </c>
      <c r="C8" s="21" t="s">
        <v>139</v>
      </c>
      <c r="D8" s="22" t="s">
        <v>140</v>
      </c>
      <c r="E8" s="27" t="s">
        <v>141</v>
      </c>
      <c r="F8" s="20" t="s">
        <v>142</v>
      </c>
      <c r="G8" s="23" t="s">
        <v>143</v>
      </c>
      <c r="H8" s="24" t="n">
        <f aca="false">COUNTIF(확인항목!$A:$A,$A8)</f>
        <v>5</v>
      </c>
      <c r="I8" s="24" t="n">
        <f aca="false">COUNTIFS(확인항목!$A:$A,$A8,확인항목!$G:$G,"PASS")</f>
        <v>0</v>
      </c>
      <c r="J8" s="24" t="n">
        <f aca="false">COUNTIFS(확인항목!$A:$A,$A8,확인항목!$G:$G,"FAIL")</f>
        <v>0</v>
      </c>
      <c r="K8" s="24" t="n">
        <f aca="false">COUNTIFS(확인항목!$A:$A,$A8,확인항목!$G:$G,"")</f>
        <v>5</v>
      </c>
      <c r="L8" s="25" t="str">
        <f aca="false">IF($J8&gt;0,"FAIL",IF($H8=0,"-",IF($K8=$H8,"미착수",IF($I8=$H8,"PASS","진행중"))))</f>
        <v>미착수</v>
      </c>
      <c r="M8" s="17"/>
      <c r="N8" s="18"/>
    </row>
    <row r="9" customFormat="false" ht="93.75" hidden="false" customHeight="true" outlineLevel="0" collapsed="false">
      <c r="A9" s="10" t="s">
        <v>144</v>
      </c>
      <c r="B9" s="11" t="s">
        <v>83</v>
      </c>
      <c r="C9" s="12" t="s">
        <v>145</v>
      </c>
      <c r="D9" s="13" t="s">
        <v>146</v>
      </c>
      <c r="E9" s="26" t="s">
        <v>147</v>
      </c>
      <c r="F9" s="11" t="s">
        <v>148</v>
      </c>
      <c r="G9" s="14" t="s">
        <v>149</v>
      </c>
      <c r="H9" s="15" t="n">
        <f aca="false">COUNTIF(확인항목!$A:$A,$A9)</f>
        <v>5</v>
      </c>
      <c r="I9" s="15" t="n">
        <f aca="false">COUNTIFS(확인항목!$A:$A,$A9,확인항목!$G:$G,"PASS")</f>
        <v>0</v>
      </c>
      <c r="J9" s="15" t="n">
        <f aca="false">COUNTIFS(확인항목!$A:$A,$A9,확인항목!$G:$G,"FAIL")</f>
        <v>0</v>
      </c>
      <c r="K9" s="15" t="n">
        <f aca="false">COUNTIFS(확인항목!$A:$A,$A9,확인항목!$G:$G,"")</f>
        <v>5</v>
      </c>
      <c r="L9" s="16" t="str">
        <f aca="false">IF($J9&gt;0,"FAIL",IF($H9=0,"-",IF($K9=$H9,"미착수",IF($I9=$H9,"PASS","진행중"))))</f>
        <v>미착수</v>
      </c>
      <c r="M9" s="17"/>
      <c r="N9" s="18"/>
    </row>
    <row r="10" customFormat="false" ht="93.75" hidden="false" customHeight="true" outlineLevel="0" collapsed="false">
      <c r="A10" s="19" t="s">
        <v>150</v>
      </c>
      <c r="B10" s="20" t="s">
        <v>97</v>
      </c>
      <c r="C10" s="21" t="s">
        <v>151</v>
      </c>
      <c r="D10" s="22" t="s">
        <v>152</v>
      </c>
      <c r="E10" s="20" t="s">
        <v>153</v>
      </c>
      <c r="F10" s="27" t="s">
        <v>154</v>
      </c>
      <c r="G10" s="23" t="s">
        <v>155</v>
      </c>
      <c r="H10" s="24" t="n">
        <f aca="false">COUNTIF(확인항목!$A:$A,$A10)</f>
        <v>6</v>
      </c>
      <c r="I10" s="24" t="n">
        <f aca="false">COUNTIFS(확인항목!$A:$A,$A10,확인항목!$G:$G,"PASS")</f>
        <v>0</v>
      </c>
      <c r="J10" s="24" t="n">
        <f aca="false">COUNTIFS(확인항목!$A:$A,$A10,확인항목!$G:$G,"FAIL")</f>
        <v>0</v>
      </c>
      <c r="K10" s="24" t="n">
        <f aca="false">COUNTIFS(확인항목!$A:$A,$A10,확인항목!$G:$G,"")</f>
        <v>6</v>
      </c>
      <c r="L10" s="25" t="str">
        <f aca="false">IF($J10&gt;0,"FAIL",IF($H10=0,"-",IF($K10=$H10,"미착수",IF($I10=$H10,"PASS","진행중"))))</f>
        <v>미착수</v>
      </c>
      <c r="M10" s="17"/>
      <c r="N10" s="18"/>
    </row>
    <row r="11" customFormat="false" ht="105.75" hidden="false" customHeight="true" outlineLevel="0" collapsed="false">
      <c r="A11" s="10" t="s">
        <v>156</v>
      </c>
      <c r="B11" s="11" t="s">
        <v>157</v>
      </c>
      <c r="C11" s="12" t="s">
        <v>158</v>
      </c>
      <c r="D11" s="13" t="s">
        <v>159</v>
      </c>
      <c r="E11" s="11" t="s">
        <v>160</v>
      </c>
      <c r="F11" s="11" t="s">
        <v>161</v>
      </c>
      <c r="G11" s="14" t="s">
        <v>162</v>
      </c>
      <c r="H11" s="15" t="n">
        <f aca="false">COUNTIF(확인항목!$A:$A,$A11)</f>
        <v>6</v>
      </c>
      <c r="I11" s="15" t="n">
        <f aca="false">COUNTIFS(확인항목!$A:$A,$A11,확인항목!$G:$G,"PASS")</f>
        <v>0</v>
      </c>
      <c r="J11" s="15" t="n">
        <f aca="false">COUNTIFS(확인항목!$A:$A,$A11,확인항목!$G:$G,"FAIL")</f>
        <v>0</v>
      </c>
      <c r="K11" s="15" t="n">
        <f aca="false">COUNTIFS(확인항목!$A:$A,$A11,확인항목!$G:$G,"")</f>
        <v>6</v>
      </c>
      <c r="L11" s="16" t="str">
        <f aca="false">IF($J11&gt;0,"FAIL",IF($H11=0,"-",IF($K11=$H11,"미착수",IF($I11=$H11,"PASS","진행중"))))</f>
        <v>미착수</v>
      </c>
      <c r="M11" s="17"/>
      <c r="N11" s="18"/>
    </row>
    <row r="12" customFormat="false" ht="81.75" hidden="false" customHeight="true" outlineLevel="0" collapsed="false">
      <c r="A12" s="19" t="s">
        <v>163</v>
      </c>
      <c r="B12" s="20" t="s">
        <v>164</v>
      </c>
      <c r="C12" s="21" t="s">
        <v>165</v>
      </c>
      <c r="D12" s="22" t="s">
        <v>166</v>
      </c>
      <c r="E12" s="20" t="s">
        <v>167</v>
      </c>
      <c r="F12" s="20" t="s">
        <v>168</v>
      </c>
      <c r="G12" s="23" t="s">
        <v>169</v>
      </c>
      <c r="H12" s="24" t="n">
        <f aca="false">COUNTIF(확인항목!$A:$A,$A12)</f>
        <v>6</v>
      </c>
      <c r="I12" s="24" t="n">
        <f aca="false">COUNTIFS(확인항목!$A:$A,$A12,확인항목!$G:$G,"PASS")</f>
        <v>0</v>
      </c>
      <c r="J12" s="24" t="n">
        <f aca="false">COUNTIFS(확인항목!$A:$A,$A12,확인항목!$G:$G,"FAIL")</f>
        <v>0</v>
      </c>
      <c r="K12" s="24" t="n">
        <f aca="false">COUNTIFS(확인항목!$A:$A,$A12,확인항목!$G:$G,"")</f>
        <v>6</v>
      </c>
      <c r="L12" s="25" t="str">
        <f aca="false">IF($J12&gt;0,"FAIL",IF($H12=0,"-",IF($K12=$H12,"미착수",IF($I12=$H12,"PASS","진행중"))))</f>
        <v>미착수</v>
      </c>
      <c r="M12" s="17"/>
      <c r="N12" s="18"/>
    </row>
  </sheetData>
  <mergeCells count="2">
    <mergeCell ref="A1:G1"/>
    <mergeCell ref="H1:N1"/>
  </mergeCells>
  <conditionalFormatting sqref="I3:I12">
    <cfRule type="cellIs" priority="2" operator="equal" aboveAverage="0" equalAverage="0" bottom="0" percent="0" rank="0" text="" dxfId="0">
      <formula>"PASS"</formula>
    </cfRule>
  </conditionalFormatting>
  <conditionalFormatting sqref="L3:L12">
    <cfRule type="cellIs" priority="3" operator="equal" aboveAverage="0" equalAverage="0" bottom="0" percent="0" rank="0" text="" dxfId="0">
      <formula>"PASS"</formula>
    </cfRule>
    <cfRule type="cellIs" priority="4" operator="equal" aboveAverage="0" equalAverage="0" bottom="0" percent="0" rank="0" text="" dxfId="1">
      <formula>"FAIL"</formula>
    </cfRule>
    <cfRule type="cellIs" priority="5" operator="equal" aboveAverage="0" equalAverage="0" bottom="0" percent="0" rank="0" text="" dxfId="2">
      <formula>"미착수"</formula>
    </cfRule>
    <cfRule type="cellIs" priority="6" operator="equal" aboveAverage="0" equalAverage="0" bottom="0" percent="0" rank="0" text="" dxfId="3">
      <formula>"진행중"</formula>
    </cfRule>
  </conditionalFormatting>
  <conditionalFormatting sqref="J3:J12">
    <cfRule type="cellIs" priority="7" operator="equal" aboveAverage="0" equalAverage="0" bottom="0" percent="0" rank="0" text="" dxfId="1">
      <formula>"FAIL"</formula>
    </cfRule>
    <cfRule type="cellIs" priority="8" operator="greaterThan" aboveAverage="0" equalAverage="0" bottom="0" percent="0" rank="0" text="" dxfId="1">
      <formula>0</formula>
    </cfRule>
  </conditionalFormatting>
  <dataValidations count="1">
    <dataValidation allowBlank="true" errorStyle="stop" operator="between" showDropDown="false" showErrorMessage="false" showInputMessage="false" sqref="M3:M12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50"/>
    <col collapsed="false" customWidth="true" hidden="false" outlineLevel="0" max="5" min="5" style="0" width="54"/>
    <col collapsed="false" customWidth="true" hidden="false" outlineLevel="0" max="6" min="6" style="0" width="58"/>
    <col collapsed="false" customWidth="true" hidden="false" outlineLevel="0" max="7" min="7" style="0" width="38"/>
    <col collapsed="false" customWidth="true" hidden="false" outlineLevel="0" max="10" min="8" style="0" width="7"/>
    <col collapsed="false" customWidth="true" hidden="false" outlineLevel="0" max="11" min="11" style="0" width="8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4"/>
  </cols>
  <sheetData>
    <row r="1" customFormat="false" ht="25.5" hidden="false" customHeight="true" outlineLevel="0" collapsed="false">
      <c r="A1" s="6" t="s">
        <v>170</v>
      </c>
      <c r="B1" s="6"/>
      <c r="C1" s="6"/>
      <c r="D1" s="6"/>
      <c r="E1" s="6"/>
      <c r="F1" s="6"/>
      <c r="G1" s="6"/>
      <c r="H1" s="7" t="s">
        <v>171</v>
      </c>
      <c r="I1" s="7"/>
      <c r="J1" s="7"/>
      <c r="K1" s="7"/>
      <c r="L1" s="7"/>
      <c r="M1" s="7"/>
      <c r="N1" s="7"/>
    </row>
    <row r="2" customFormat="false" ht="30" hidden="false" customHeight="true" outlineLevel="0" collapsed="false">
      <c r="A2" s="30" t="s">
        <v>26</v>
      </c>
      <c r="B2" s="30" t="s">
        <v>172</v>
      </c>
      <c r="C2" s="30" t="s">
        <v>173</v>
      </c>
      <c r="D2" s="30" t="s">
        <v>174</v>
      </c>
      <c r="E2" s="30" t="s">
        <v>175</v>
      </c>
      <c r="F2" s="30" t="s">
        <v>176</v>
      </c>
      <c r="G2" s="30" t="s">
        <v>32</v>
      </c>
      <c r="H2" s="30" t="s">
        <v>33</v>
      </c>
      <c r="I2" s="31" t="s">
        <v>34</v>
      </c>
      <c r="J2" s="31" t="s">
        <v>35</v>
      </c>
      <c r="K2" s="30" t="s">
        <v>36</v>
      </c>
      <c r="L2" s="30" t="s">
        <v>37</v>
      </c>
      <c r="M2" s="30" t="s">
        <v>38</v>
      </c>
      <c r="N2" s="30" t="s">
        <v>177</v>
      </c>
    </row>
    <row r="3" customFormat="false" ht="24" hidden="false" customHeight="true" outlineLevel="0" collapsed="false">
      <c r="A3" s="32" t="s">
        <v>178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customFormat="false" ht="141" hidden="false" customHeight="true" outlineLevel="0" collapsed="false">
      <c r="A4" s="10" t="s">
        <v>179</v>
      </c>
      <c r="B4" s="33" t="s">
        <v>180</v>
      </c>
      <c r="C4" s="12" t="s">
        <v>181</v>
      </c>
      <c r="D4" s="26" t="s">
        <v>182</v>
      </c>
      <c r="E4" s="34" t="s">
        <v>183</v>
      </c>
      <c r="F4" s="11" t="s">
        <v>184</v>
      </c>
      <c r="G4" s="14" t="s">
        <v>185</v>
      </c>
      <c r="H4" s="15" t="n">
        <f aca="false">COUNTIF(확인항목!$A:$A,$A4)</f>
        <v>7</v>
      </c>
      <c r="I4" s="15" t="n">
        <f aca="false">COUNTIFS(확인항목!$A:$A,$A4,확인항목!$G:$G,"PASS")</f>
        <v>0</v>
      </c>
      <c r="J4" s="15" t="n">
        <f aca="false">COUNTIFS(확인항목!$A:$A,$A4,확인항목!$G:$G,"FAIL")</f>
        <v>0</v>
      </c>
      <c r="K4" s="15" t="n">
        <f aca="false">COUNTIFS(확인항목!$A:$A,$A4,확인항목!$G:$G,"")</f>
        <v>7</v>
      </c>
      <c r="L4" s="16" t="str">
        <f aca="false">IF($J4&gt;0,"FAIL",IF($H4=0,"-",IF($K4=$H4,"미착수",IF($I4=$H4,"PASS","진행중"))))</f>
        <v>미착수</v>
      </c>
      <c r="M4" s="17"/>
      <c r="N4" s="18"/>
    </row>
    <row r="5" customFormat="false" ht="163.5" hidden="false" customHeight="true" outlineLevel="0" collapsed="false">
      <c r="A5" s="19" t="s">
        <v>186</v>
      </c>
      <c r="B5" s="35" t="s">
        <v>187</v>
      </c>
      <c r="C5" s="21" t="s">
        <v>188</v>
      </c>
      <c r="D5" s="27" t="s">
        <v>189</v>
      </c>
      <c r="E5" s="34" t="s">
        <v>190</v>
      </c>
      <c r="F5" s="20" t="s">
        <v>191</v>
      </c>
      <c r="G5" s="23" t="s">
        <v>192</v>
      </c>
      <c r="H5" s="24" t="n">
        <f aca="false">COUNTIF(확인항목!$A:$A,$A5)</f>
        <v>7</v>
      </c>
      <c r="I5" s="24" t="n">
        <f aca="false">COUNTIFS(확인항목!$A:$A,$A5,확인항목!$G:$G,"PASS")</f>
        <v>0</v>
      </c>
      <c r="J5" s="24" t="n">
        <f aca="false">COUNTIFS(확인항목!$A:$A,$A5,확인항목!$G:$G,"FAIL")</f>
        <v>0</v>
      </c>
      <c r="K5" s="24" t="n">
        <f aca="false">COUNTIFS(확인항목!$A:$A,$A5,확인항목!$G:$G,"")</f>
        <v>7</v>
      </c>
      <c r="L5" s="25" t="str">
        <f aca="false">IF($J5&gt;0,"FAIL",IF($H5=0,"-",IF($K5=$H5,"미착수",IF($I5=$H5,"PASS","진행중"))))</f>
        <v>미착수</v>
      </c>
      <c r="M5" s="17"/>
      <c r="N5" s="18"/>
    </row>
    <row r="6" customFormat="false" ht="129" hidden="false" customHeight="true" outlineLevel="0" collapsed="false">
      <c r="A6" s="10" t="s">
        <v>193</v>
      </c>
      <c r="B6" s="33" t="s">
        <v>194</v>
      </c>
      <c r="C6" s="12" t="s">
        <v>195</v>
      </c>
      <c r="D6" s="26" t="s">
        <v>196</v>
      </c>
      <c r="E6" s="34" t="s">
        <v>197</v>
      </c>
      <c r="F6" s="11" t="s">
        <v>198</v>
      </c>
      <c r="G6" s="14" t="s">
        <v>199</v>
      </c>
      <c r="H6" s="15" t="n">
        <f aca="false">COUNTIF(확인항목!$A:$A,$A6)</f>
        <v>8</v>
      </c>
      <c r="I6" s="15" t="n">
        <f aca="false">COUNTIFS(확인항목!$A:$A,$A6,확인항목!$G:$G,"PASS")</f>
        <v>0</v>
      </c>
      <c r="J6" s="15" t="n">
        <f aca="false">COUNTIFS(확인항목!$A:$A,$A6,확인항목!$G:$G,"FAIL")</f>
        <v>0</v>
      </c>
      <c r="K6" s="15" t="n">
        <f aca="false">COUNTIFS(확인항목!$A:$A,$A6,확인항목!$G:$G,"")</f>
        <v>8</v>
      </c>
      <c r="L6" s="16" t="str">
        <f aca="false">IF($J6&gt;0,"FAIL",IF($H6=0,"-",IF($K6=$H6,"미착수",IF($I6=$H6,"PASS","진행중"))))</f>
        <v>미착수</v>
      </c>
      <c r="M6" s="17"/>
      <c r="N6" s="18"/>
    </row>
    <row r="7" customFormat="false" ht="24" hidden="false" customHeight="true" outlineLevel="0" collapsed="false">
      <c r="A7" s="32" t="s">
        <v>200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</row>
    <row r="8" customFormat="false" ht="141" hidden="false" customHeight="true" outlineLevel="0" collapsed="false">
      <c r="A8" s="10" t="s">
        <v>201</v>
      </c>
      <c r="B8" s="33" t="s">
        <v>180</v>
      </c>
      <c r="C8" s="12" t="s">
        <v>181</v>
      </c>
      <c r="D8" s="26" t="s">
        <v>202</v>
      </c>
      <c r="E8" s="34" t="s">
        <v>203</v>
      </c>
      <c r="F8" s="11" t="s">
        <v>204</v>
      </c>
      <c r="G8" s="14" t="s">
        <v>185</v>
      </c>
      <c r="H8" s="15" t="n">
        <f aca="false">COUNTIF(확인항목!$A:$A,$A8)</f>
        <v>7</v>
      </c>
      <c r="I8" s="15" t="n">
        <f aca="false">COUNTIFS(확인항목!$A:$A,$A8,확인항목!$G:$G,"PASS")</f>
        <v>0</v>
      </c>
      <c r="J8" s="15" t="n">
        <f aca="false">COUNTIFS(확인항목!$A:$A,$A8,확인항목!$G:$G,"FAIL")</f>
        <v>0</v>
      </c>
      <c r="K8" s="15" t="n">
        <f aca="false">COUNTIFS(확인항목!$A:$A,$A8,확인항목!$G:$G,"")</f>
        <v>7</v>
      </c>
      <c r="L8" s="16" t="str">
        <f aca="false">IF($J8&gt;0,"FAIL",IF($H8=0,"-",IF($K8=$H8,"미착수",IF($I8=$H8,"PASS","진행중"))))</f>
        <v>미착수</v>
      </c>
      <c r="M8" s="17"/>
      <c r="N8" s="18"/>
    </row>
    <row r="9" customFormat="false" ht="117.75" hidden="false" customHeight="true" outlineLevel="0" collapsed="false">
      <c r="A9" s="19" t="s">
        <v>205</v>
      </c>
      <c r="B9" s="35" t="s">
        <v>206</v>
      </c>
      <c r="C9" s="21" t="s">
        <v>207</v>
      </c>
      <c r="D9" s="27" t="s">
        <v>208</v>
      </c>
      <c r="E9" s="34" t="s">
        <v>209</v>
      </c>
      <c r="F9" s="20" t="s">
        <v>210</v>
      </c>
      <c r="G9" s="23" t="s">
        <v>211</v>
      </c>
      <c r="H9" s="24" t="n">
        <f aca="false">COUNTIF(확인항목!$A:$A,$A9)</f>
        <v>7</v>
      </c>
      <c r="I9" s="24" t="n">
        <f aca="false">COUNTIFS(확인항목!$A:$A,$A9,확인항목!$G:$G,"PASS")</f>
        <v>0</v>
      </c>
      <c r="J9" s="24" t="n">
        <f aca="false">COUNTIFS(확인항목!$A:$A,$A9,확인항목!$G:$G,"FAIL")</f>
        <v>0</v>
      </c>
      <c r="K9" s="24" t="n">
        <f aca="false">COUNTIFS(확인항목!$A:$A,$A9,확인항목!$G:$G,"")</f>
        <v>7</v>
      </c>
      <c r="L9" s="25" t="str">
        <f aca="false">IF($J9&gt;0,"FAIL",IF($H9=0,"-",IF($K9=$H9,"미착수",IF($I9=$H9,"PASS","진행중"))))</f>
        <v>미착수</v>
      </c>
      <c r="M9" s="17"/>
      <c r="N9" s="18"/>
    </row>
    <row r="10" customFormat="false" ht="129" hidden="false" customHeight="true" outlineLevel="0" collapsed="false">
      <c r="A10" s="10" t="s">
        <v>212</v>
      </c>
      <c r="B10" s="33" t="s">
        <v>213</v>
      </c>
      <c r="C10" s="12" t="s">
        <v>214</v>
      </c>
      <c r="D10" s="26" t="s">
        <v>215</v>
      </c>
      <c r="E10" s="34" t="s">
        <v>216</v>
      </c>
      <c r="F10" s="11" t="s">
        <v>217</v>
      </c>
      <c r="G10" s="14" t="s">
        <v>218</v>
      </c>
      <c r="H10" s="15" t="n">
        <f aca="false">COUNTIF(확인항목!$A:$A,$A10)</f>
        <v>8</v>
      </c>
      <c r="I10" s="15" t="n">
        <f aca="false">COUNTIFS(확인항목!$A:$A,$A10,확인항목!$G:$G,"PASS")</f>
        <v>0</v>
      </c>
      <c r="J10" s="15" t="n">
        <f aca="false">COUNTIFS(확인항목!$A:$A,$A10,확인항목!$G:$G,"FAIL")</f>
        <v>0</v>
      </c>
      <c r="K10" s="15" t="n">
        <f aca="false">COUNTIFS(확인항목!$A:$A,$A10,확인항목!$G:$G,"")</f>
        <v>8</v>
      </c>
      <c r="L10" s="16" t="str">
        <f aca="false">IF($J10&gt;0,"FAIL",IF($H10=0,"-",IF($K10=$H10,"미착수",IF($I10=$H10,"PASS","진행중"))))</f>
        <v>미착수</v>
      </c>
      <c r="M10" s="17"/>
      <c r="N10" s="18"/>
    </row>
  </sheetData>
  <mergeCells count="4">
    <mergeCell ref="A1:G1"/>
    <mergeCell ref="H1:N1"/>
    <mergeCell ref="A3:N3"/>
    <mergeCell ref="A7:N7"/>
  </mergeCells>
  <conditionalFormatting sqref="I3:I10">
    <cfRule type="cellIs" priority="2" operator="equal" aboveAverage="0" equalAverage="0" bottom="0" percent="0" rank="0" text="" dxfId="0">
      <formula>"PASS"</formula>
    </cfRule>
  </conditionalFormatting>
  <conditionalFormatting sqref="L3:L10">
    <cfRule type="cellIs" priority="3" operator="equal" aboveAverage="0" equalAverage="0" bottom="0" percent="0" rank="0" text="" dxfId="0">
      <formula>"PASS"</formula>
    </cfRule>
    <cfRule type="cellIs" priority="4" operator="equal" aboveAverage="0" equalAverage="0" bottom="0" percent="0" rank="0" text="" dxfId="1">
      <formula>"FAIL"</formula>
    </cfRule>
    <cfRule type="cellIs" priority="5" operator="equal" aboveAverage="0" equalAverage="0" bottom="0" percent="0" rank="0" text="" dxfId="2">
      <formula>"미착수"</formula>
    </cfRule>
    <cfRule type="cellIs" priority="6" operator="equal" aboveAverage="0" equalAverage="0" bottom="0" percent="0" rank="0" text="" dxfId="3">
      <formula>"진행중"</formula>
    </cfRule>
  </conditionalFormatting>
  <conditionalFormatting sqref="J3:J10">
    <cfRule type="cellIs" priority="7" operator="equal" aboveAverage="0" equalAverage="0" bottom="0" percent="0" rank="0" text="" dxfId="1">
      <formula>"FAIL"</formula>
    </cfRule>
    <cfRule type="cellIs" priority="8" operator="greaterThan" aboveAverage="0" equalAverage="0" bottom="0" percent="0" rank="0" text="" dxfId="1">
      <formula>0</formula>
    </cfRule>
  </conditionalFormatting>
  <dataValidations count="1">
    <dataValidation allowBlank="true" errorStyle="stop" operator="between" showDropDown="false" showErrorMessage="false" showInputMessage="false" sqref="M3:M10" type="dat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44"/>
    <col collapsed="false" customWidth="true" hidden="false" outlineLevel="0" max="9" min="9" style="0" width="10"/>
    <col collapsed="false" customWidth="true" hidden="false" outlineLevel="0" max="10" min="10" style="0" width="62"/>
  </cols>
  <sheetData>
    <row r="1" customFormat="false" ht="24" hidden="false" customHeight="true" outlineLevel="0" collapsed="false">
      <c r="A1" s="36" t="s">
        <v>219</v>
      </c>
      <c r="B1" s="36"/>
      <c r="C1" s="36"/>
      <c r="D1" s="36"/>
      <c r="E1" s="36"/>
      <c r="F1" s="36"/>
      <c r="G1" s="36"/>
      <c r="H1" s="36"/>
      <c r="I1" s="36"/>
      <c r="J1" s="36"/>
    </row>
    <row r="2" customFormat="false" ht="30" hidden="false" customHeight="true" outlineLevel="0" collapsed="false">
      <c r="A2" s="8" t="s">
        <v>26</v>
      </c>
      <c r="B2" s="8" t="s">
        <v>220</v>
      </c>
      <c r="C2" s="8" t="s">
        <v>221</v>
      </c>
      <c r="D2" s="8" t="s">
        <v>222</v>
      </c>
      <c r="E2" s="8" t="s">
        <v>223</v>
      </c>
      <c r="F2" s="8" t="s">
        <v>224</v>
      </c>
      <c r="G2" s="8" t="s">
        <v>225</v>
      </c>
      <c r="H2" s="8" t="s">
        <v>226</v>
      </c>
      <c r="I2" s="8" t="s">
        <v>227</v>
      </c>
      <c r="J2" s="8" t="s">
        <v>228</v>
      </c>
    </row>
    <row r="3" customFormat="false" ht="30" hidden="false" customHeight="true" outlineLevel="0" collapsed="false">
      <c r="A3" s="10" t="s">
        <v>40</v>
      </c>
      <c r="B3" s="37" t="s">
        <v>229</v>
      </c>
      <c r="C3" s="37" t="s">
        <v>230</v>
      </c>
      <c r="D3" s="37" t="s">
        <v>231</v>
      </c>
      <c r="E3" s="11" t="s">
        <v>232</v>
      </c>
      <c r="F3" s="38" t="s">
        <v>233</v>
      </c>
      <c r="G3" s="39"/>
      <c r="H3" s="18"/>
      <c r="I3" s="40"/>
      <c r="J3" s="11" t="s">
        <v>234</v>
      </c>
    </row>
    <row r="4" customFormat="false" ht="30" hidden="false" customHeight="true" outlineLevel="0" collapsed="false">
      <c r="A4" s="19" t="s">
        <v>40</v>
      </c>
      <c r="B4" s="41" t="s">
        <v>229</v>
      </c>
      <c r="C4" s="41" t="s">
        <v>230</v>
      </c>
      <c r="D4" s="41" t="s">
        <v>231</v>
      </c>
      <c r="E4" s="20" t="s">
        <v>235</v>
      </c>
      <c r="F4" s="42" t="s">
        <v>236</v>
      </c>
      <c r="G4" s="39"/>
      <c r="H4" s="18"/>
      <c r="I4" s="40"/>
      <c r="J4" s="27" t="s">
        <v>237</v>
      </c>
    </row>
    <row r="5" customFormat="false" ht="30" hidden="false" customHeight="true" outlineLevel="0" collapsed="false">
      <c r="A5" s="10" t="s">
        <v>40</v>
      </c>
      <c r="B5" s="37" t="s">
        <v>229</v>
      </c>
      <c r="C5" s="37" t="s">
        <v>230</v>
      </c>
      <c r="D5" s="37" t="s">
        <v>231</v>
      </c>
      <c r="E5" s="11" t="s">
        <v>238</v>
      </c>
      <c r="F5" s="38" t="s">
        <v>239</v>
      </c>
      <c r="G5" s="39"/>
      <c r="H5" s="18"/>
      <c r="I5" s="40"/>
      <c r="J5" s="26" t="s">
        <v>240</v>
      </c>
    </row>
    <row r="6" customFormat="false" ht="30" hidden="false" customHeight="true" outlineLevel="0" collapsed="false">
      <c r="A6" s="19" t="s">
        <v>40</v>
      </c>
      <c r="B6" s="41" t="s">
        <v>229</v>
      </c>
      <c r="C6" s="41" t="s">
        <v>230</v>
      </c>
      <c r="D6" s="41" t="s">
        <v>231</v>
      </c>
      <c r="E6" s="20" t="s">
        <v>241</v>
      </c>
      <c r="F6" s="42" t="s">
        <v>242</v>
      </c>
      <c r="G6" s="39"/>
      <c r="H6" s="18"/>
      <c r="I6" s="40"/>
      <c r="J6" s="27" t="s">
        <v>243</v>
      </c>
    </row>
    <row r="7" customFormat="false" ht="30" hidden="false" customHeight="true" outlineLevel="0" collapsed="false">
      <c r="A7" s="10" t="s">
        <v>40</v>
      </c>
      <c r="B7" s="37" t="s">
        <v>229</v>
      </c>
      <c r="C7" s="37" t="s">
        <v>230</v>
      </c>
      <c r="D7" s="37" t="s">
        <v>231</v>
      </c>
      <c r="E7" s="11" t="s">
        <v>62</v>
      </c>
      <c r="F7" s="38" t="s">
        <v>244</v>
      </c>
      <c r="G7" s="39"/>
      <c r="H7" s="18"/>
      <c r="I7" s="40"/>
      <c r="J7" s="11" t="s">
        <v>245</v>
      </c>
    </row>
    <row r="8" customFormat="false" ht="30" hidden="false" customHeight="true" outlineLevel="0" collapsed="false">
      <c r="A8" s="19" t="s">
        <v>47</v>
      </c>
      <c r="B8" s="41" t="s">
        <v>229</v>
      </c>
      <c r="C8" s="41" t="s">
        <v>230</v>
      </c>
      <c r="D8" s="41" t="s">
        <v>231</v>
      </c>
      <c r="E8" s="20" t="s">
        <v>246</v>
      </c>
      <c r="F8" s="42" t="s">
        <v>247</v>
      </c>
      <c r="G8" s="39"/>
      <c r="H8" s="18"/>
      <c r="I8" s="40"/>
      <c r="J8" s="20" t="s">
        <v>248</v>
      </c>
    </row>
    <row r="9" customFormat="false" ht="30" hidden="false" customHeight="true" outlineLevel="0" collapsed="false">
      <c r="A9" s="10" t="s">
        <v>47</v>
      </c>
      <c r="B9" s="37" t="s">
        <v>229</v>
      </c>
      <c r="C9" s="37" t="s">
        <v>230</v>
      </c>
      <c r="D9" s="37" t="s">
        <v>231</v>
      </c>
      <c r="E9" s="11" t="s">
        <v>249</v>
      </c>
      <c r="F9" s="38" t="s">
        <v>250</v>
      </c>
      <c r="G9" s="39"/>
      <c r="H9" s="18"/>
      <c r="I9" s="40"/>
      <c r="J9" s="11" t="s">
        <v>251</v>
      </c>
    </row>
    <row r="10" customFormat="false" ht="30" hidden="false" customHeight="true" outlineLevel="0" collapsed="false">
      <c r="A10" s="19" t="s">
        <v>47</v>
      </c>
      <c r="B10" s="41" t="s">
        <v>229</v>
      </c>
      <c r="C10" s="41" t="s">
        <v>230</v>
      </c>
      <c r="D10" s="41" t="s">
        <v>231</v>
      </c>
      <c r="E10" s="20" t="s">
        <v>252</v>
      </c>
      <c r="F10" s="42" t="s">
        <v>253</v>
      </c>
      <c r="G10" s="39"/>
      <c r="H10" s="18"/>
      <c r="I10" s="40"/>
      <c r="J10" s="20" t="s">
        <v>254</v>
      </c>
    </row>
    <row r="11" customFormat="false" ht="30" hidden="false" customHeight="true" outlineLevel="0" collapsed="false">
      <c r="A11" s="10" t="s">
        <v>47</v>
      </c>
      <c r="B11" s="37" t="s">
        <v>229</v>
      </c>
      <c r="C11" s="37" t="s">
        <v>230</v>
      </c>
      <c r="D11" s="37" t="s">
        <v>231</v>
      </c>
      <c r="E11" s="11" t="s">
        <v>255</v>
      </c>
      <c r="F11" s="38" t="s">
        <v>256</v>
      </c>
      <c r="G11" s="39"/>
      <c r="H11" s="18"/>
      <c r="I11" s="40"/>
      <c r="J11" s="11" t="s">
        <v>257</v>
      </c>
    </row>
    <row r="12" customFormat="false" ht="30" hidden="false" customHeight="true" outlineLevel="0" collapsed="false">
      <c r="A12" s="19" t="s">
        <v>47</v>
      </c>
      <c r="B12" s="41" t="s">
        <v>229</v>
      </c>
      <c r="C12" s="41" t="s">
        <v>230</v>
      </c>
      <c r="D12" s="41" t="s">
        <v>231</v>
      </c>
      <c r="E12" s="20" t="s">
        <v>258</v>
      </c>
      <c r="F12" s="42" t="s">
        <v>259</v>
      </c>
      <c r="G12" s="39"/>
      <c r="H12" s="18"/>
      <c r="I12" s="40"/>
      <c r="J12" s="20" t="s">
        <v>260</v>
      </c>
    </row>
    <row r="13" customFormat="false" ht="30" hidden="false" customHeight="true" outlineLevel="0" collapsed="false">
      <c r="A13" s="10" t="s">
        <v>54</v>
      </c>
      <c r="B13" s="37" t="s">
        <v>229</v>
      </c>
      <c r="C13" s="37" t="s">
        <v>230</v>
      </c>
      <c r="D13" s="37" t="s">
        <v>231</v>
      </c>
      <c r="E13" s="11" t="s">
        <v>55</v>
      </c>
      <c r="F13" s="38" t="s">
        <v>261</v>
      </c>
      <c r="G13" s="39"/>
      <c r="H13" s="18"/>
      <c r="I13" s="40"/>
      <c r="J13" s="11" t="s">
        <v>262</v>
      </c>
    </row>
    <row r="14" customFormat="false" ht="30" hidden="false" customHeight="true" outlineLevel="0" collapsed="false">
      <c r="A14" s="19" t="s">
        <v>54</v>
      </c>
      <c r="B14" s="41" t="s">
        <v>229</v>
      </c>
      <c r="C14" s="41" t="s">
        <v>230</v>
      </c>
      <c r="D14" s="41" t="s">
        <v>231</v>
      </c>
      <c r="E14" s="20" t="s">
        <v>55</v>
      </c>
      <c r="F14" s="42" t="s">
        <v>263</v>
      </c>
      <c r="G14" s="39"/>
      <c r="H14" s="18"/>
      <c r="I14" s="40"/>
      <c r="J14" s="20" t="s">
        <v>264</v>
      </c>
    </row>
    <row r="15" customFormat="false" ht="30" hidden="false" customHeight="true" outlineLevel="0" collapsed="false">
      <c r="A15" s="10" t="s">
        <v>54</v>
      </c>
      <c r="B15" s="37" t="s">
        <v>229</v>
      </c>
      <c r="C15" s="37" t="s">
        <v>230</v>
      </c>
      <c r="D15" s="37" t="s">
        <v>231</v>
      </c>
      <c r="E15" s="11" t="s">
        <v>232</v>
      </c>
      <c r="F15" s="38" t="s">
        <v>265</v>
      </c>
      <c r="G15" s="39"/>
      <c r="H15" s="18"/>
      <c r="I15" s="40"/>
      <c r="J15" s="11" t="s">
        <v>266</v>
      </c>
    </row>
    <row r="16" customFormat="false" ht="30" hidden="false" customHeight="true" outlineLevel="0" collapsed="false">
      <c r="A16" s="19" t="s">
        <v>54</v>
      </c>
      <c r="B16" s="41" t="s">
        <v>229</v>
      </c>
      <c r="C16" s="41" t="s">
        <v>230</v>
      </c>
      <c r="D16" s="41" t="s">
        <v>231</v>
      </c>
      <c r="E16" s="20" t="s">
        <v>55</v>
      </c>
      <c r="F16" s="42" t="s">
        <v>267</v>
      </c>
      <c r="G16" s="39"/>
      <c r="H16" s="18"/>
      <c r="I16" s="40"/>
      <c r="J16" s="20" t="s">
        <v>268</v>
      </c>
    </row>
    <row r="17" customFormat="false" ht="30" hidden="false" customHeight="true" outlineLevel="0" collapsed="false">
      <c r="A17" s="10" t="s">
        <v>54</v>
      </c>
      <c r="B17" s="37" t="s">
        <v>229</v>
      </c>
      <c r="C17" s="37" t="s">
        <v>230</v>
      </c>
      <c r="D17" s="37" t="s">
        <v>231</v>
      </c>
      <c r="E17" s="11" t="s">
        <v>55</v>
      </c>
      <c r="F17" s="38" t="s">
        <v>269</v>
      </c>
      <c r="G17" s="39"/>
      <c r="H17" s="18"/>
      <c r="I17" s="40"/>
      <c r="J17" s="11" t="s">
        <v>270</v>
      </c>
    </row>
    <row r="18" customFormat="false" ht="30" hidden="false" customHeight="true" outlineLevel="0" collapsed="false">
      <c r="A18" s="19" t="s">
        <v>61</v>
      </c>
      <c r="B18" s="41" t="s">
        <v>229</v>
      </c>
      <c r="C18" s="41" t="s">
        <v>230</v>
      </c>
      <c r="D18" s="41" t="s">
        <v>231</v>
      </c>
      <c r="E18" s="20" t="s">
        <v>62</v>
      </c>
      <c r="F18" s="42" t="s">
        <v>271</v>
      </c>
      <c r="G18" s="39"/>
      <c r="H18" s="18"/>
      <c r="I18" s="40"/>
      <c r="J18" s="20" t="s">
        <v>272</v>
      </c>
    </row>
    <row r="19" customFormat="false" ht="30" hidden="false" customHeight="true" outlineLevel="0" collapsed="false">
      <c r="A19" s="10" t="s">
        <v>61</v>
      </c>
      <c r="B19" s="37" t="s">
        <v>229</v>
      </c>
      <c r="C19" s="37" t="s">
        <v>230</v>
      </c>
      <c r="D19" s="37" t="s">
        <v>231</v>
      </c>
      <c r="E19" s="11" t="s">
        <v>62</v>
      </c>
      <c r="F19" s="38" t="s">
        <v>273</v>
      </c>
      <c r="G19" s="39"/>
      <c r="H19" s="18"/>
      <c r="I19" s="40"/>
      <c r="J19" s="11" t="s">
        <v>274</v>
      </c>
    </row>
    <row r="20" customFormat="false" ht="30" hidden="false" customHeight="true" outlineLevel="0" collapsed="false">
      <c r="A20" s="19" t="s">
        <v>61</v>
      </c>
      <c r="B20" s="41" t="s">
        <v>229</v>
      </c>
      <c r="C20" s="41" t="s">
        <v>230</v>
      </c>
      <c r="D20" s="41" t="s">
        <v>231</v>
      </c>
      <c r="E20" s="20" t="s">
        <v>62</v>
      </c>
      <c r="F20" s="42" t="s">
        <v>275</v>
      </c>
      <c r="G20" s="39"/>
      <c r="H20" s="18"/>
      <c r="I20" s="40"/>
      <c r="J20" s="20" t="s">
        <v>276</v>
      </c>
    </row>
    <row r="21" customFormat="false" ht="30" hidden="false" customHeight="true" outlineLevel="0" collapsed="false">
      <c r="A21" s="10" t="s">
        <v>61</v>
      </c>
      <c r="B21" s="37" t="s">
        <v>229</v>
      </c>
      <c r="C21" s="37" t="s">
        <v>230</v>
      </c>
      <c r="D21" s="37" t="s">
        <v>231</v>
      </c>
      <c r="E21" s="11" t="s">
        <v>277</v>
      </c>
      <c r="F21" s="38" t="s">
        <v>278</v>
      </c>
      <c r="G21" s="39"/>
      <c r="H21" s="18"/>
      <c r="I21" s="40"/>
      <c r="J21" s="11" t="s">
        <v>279</v>
      </c>
    </row>
    <row r="22" customFormat="false" ht="39.75" hidden="false" customHeight="true" outlineLevel="0" collapsed="false">
      <c r="A22" s="19" t="s">
        <v>61</v>
      </c>
      <c r="B22" s="41" t="s">
        <v>229</v>
      </c>
      <c r="C22" s="41" t="s">
        <v>230</v>
      </c>
      <c r="D22" s="41" t="s">
        <v>231</v>
      </c>
      <c r="E22" s="20" t="s">
        <v>280</v>
      </c>
      <c r="F22" s="43" t="s">
        <v>281</v>
      </c>
      <c r="G22" s="39"/>
      <c r="H22" s="18"/>
      <c r="I22" s="40"/>
      <c r="J22" s="27" t="s">
        <v>282</v>
      </c>
    </row>
    <row r="23" customFormat="false" ht="30" hidden="false" customHeight="true" outlineLevel="0" collapsed="false">
      <c r="A23" s="10" t="s">
        <v>61</v>
      </c>
      <c r="B23" s="37" t="s">
        <v>229</v>
      </c>
      <c r="C23" s="37" t="s">
        <v>230</v>
      </c>
      <c r="D23" s="37" t="s">
        <v>231</v>
      </c>
      <c r="E23" s="11" t="s">
        <v>280</v>
      </c>
      <c r="F23" s="38" t="s">
        <v>283</v>
      </c>
      <c r="G23" s="39"/>
      <c r="H23" s="18"/>
      <c r="I23" s="40"/>
      <c r="J23" s="11" t="s">
        <v>284</v>
      </c>
    </row>
    <row r="24" customFormat="false" ht="30" hidden="false" customHeight="true" outlineLevel="0" collapsed="false">
      <c r="A24" s="19" t="s">
        <v>61</v>
      </c>
      <c r="B24" s="41" t="s">
        <v>229</v>
      </c>
      <c r="C24" s="41" t="s">
        <v>230</v>
      </c>
      <c r="D24" s="41" t="s">
        <v>231</v>
      </c>
      <c r="E24" s="20" t="s">
        <v>62</v>
      </c>
      <c r="F24" s="42" t="s">
        <v>285</v>
      </c>
      <c r="G24" s="39"/>
      <c r="H24" s="18"/>
      <c r="I24" s="40"/>
      <c r="J24" s="20" t="s">
        <v>286</v>
      </c>
    </row>
    <row r="25" customFormat="false" ht="30" hidden="false" customHeight="true" outlineLevel="0" collapsed="false">
      <c r="A25" s="10" t="s">
        <v>68</v>
      </c>
      <c r="B25" s="37" t="s">
        <v>229</v>
      </c>
      <c r="C25" s="37" t="s">
        <v>230</v>
      </c>
      <c r="D25" s="37" t="s">
        <v>231</v>
      </c>
      <c r="E25" s="11" t="s">
        <v>287</v>
      </c>
      <c r="F25" s="38" t="s">
        <v>288</v>
      </c>
      <c r="G25" s="39"/>
      <c r="H25" s="18"/>
      <c r="I25" s="40"/>
      <c r="J25" s="26" t="s">
        <v>289</v>
      </c>
    </row>
    <row r="26" customFormat="false" ht="30" hidden="false" customHeight="true" outlineLevel="0" collapsed="false">
      <c r="A26" s="19" t="s">
        <v>68</v>
      </c>
      <c r="B26" s="41" t="s">
        <v>229</v>
      </c>
      <c r="C26" s="41" t="s">
        <v>230</v>
      </c>
      <c r="D26" s="41" t="s">
        <v>231</v>
      </c>
      <c r="E26" s="20" t="s">
        <v>287</v>
      </c>
      <c r="F26" s="42" t="s">
        <v>290</v>
      </c>
      <c r="G26" s="39"/>
      <c r="H26" s="18"/>
      <c r="I26" s="40"/>
      <c r="J26" s="20" t="s">
        <v>291</v>
      </c>
    </row>
    <row r="27" customFormat="false" ht="30" hidden="false" customHeight="true" outlineLevel="0" collapsed="false">
      <c r="A27" s="10" t="s">
        <v>68</v>
      </c>
      <c r="B27" s="37" t="s">
        <v>229</v>
      </c>
      <c r="C27" s="37" t="s">
        <v>230</v>
      </c>
      <c r="D27" s="37" t="s">
        <v>231</v>
      </c>
      <c r="E27" s="11" t="s">
        <v>287</v>
      </c>
      <c r="F27" s="38" t="s">
        <v>292</v>
      </c>
      <c r="G27" s="39"/>
      <c r="H27" s="18"/>
      <c r="I27" s="40"/>
      <c r="J27" s="11" t="s">
        <v>293</v>
      </c>
    </row>
    <row r="28" customFormat="false" ht="30" hidden="false" customHeight="true" outlineLevel="0" collapsed="false">
      <c r="A28" s="19" t="s">
        <v>68</v>
      </c>
      <c r="B28" s="41" t="s">
        <v>229</v>
      </c>
      <c r="C28" s="41" t="s">
        <v>230</v>
      </c>
      <c r="D28" s="41" t="s">
        <v>231</v>
      </c>
      <c r="E28" s="20" t="s">
        <v>294</v>
      </c>
      <c r="F28" s="43" t="s">
        <v>295</v>
      </c>
      <c r="G28" s="39"/>
      <c r="H28" s="18"/>
      <c r="I28" s="40"/>
      <c r="J28" s="27" t="s">
        <v>296</v>
      </c>
    </row>
    <row r="29" customFormat="false" ht="30" hidden="false" customHeight="true" outlineLevel="0" collapsed="false">
      <c r="A29" s="10" t="s">
        <v>68</v>
      </c>
      <c r="B29" s="37" t="s">
        <v>229</v>
      </c>
      <c r="C29" s="37" t="s">
        <v>230</v>
      </c>
      <c r="D29" s="37" t="s">
        <v>231</v>
      </c>
      <c r="E29" s="11" t="s">
        <v>69</v>
      </c>
      <c r="F29" s="38" t="s">
        <v>297</v>
      </c>
      <c r="G29" s="39"/>
      <c r="H29" s="18"/>
      <c r="I29" s="40"/>
      <c r="J29" s="26" t="s">
        <v>298</v>
      </c>
    </row>
    <row r="30" customFormat="false" ht="30" hidden="false" customHeight="true" outlineLevel="0" collapsed="false">
      <c r="A30" s="19" t="s">
        <v>68</v>
      </c>
      <c r="B30" s="41" t="s">
        <v>229</v>
      </c>
      <c r="C30" s="41" t="s">
        <v>230</v>
      </c>
      <c r="D30" s="41" t="s">
        <v>231</v>
      </c>
      <c r="E30" s="20" t="s">
        <v>69</v>
      </c>
      <c r="F30" s="42" t="s">
        <v>299</v>
      </c>
      <c r="G30" s="39"/>
      <c r="H30" s="18"/>
      <c r="I30" s="40"/>
      <c r="J30" s="20" t="s">
        <v>300</v>
      </c>
    </row>
    <row r="31" customFormat="false" ht="30" hidden="false" customHeight="true" outlineLevel="0" collapsed="false">
      <c r="A31" s="10" t="s">
        <v>75</v>
      </c>
      <c r="B31" s="37" t="s">
        <v>229</v>
      </c>
      <c r="C31" s="37" t="s">
        <v>230</v>
      </c>
      <c r="D31" s="37" t="s">
        <v>231</v>
      </c>
      <c r="E31" s="11" t="s">
        <v>301</v>
      </c>
      <c r="F31" s="38" t="s">
        <v>302</v>
      </c>
      <c r="G31" s="39"/>
      <c r="H31" s="18"/>
      <c r="I31" s="40"/>
      <c r="J31" s="26" t="s">
        <v>303</v>
      </c>
    </row>
    <row r="32" customFormat="false" ht="30" hidden="false" customHeight="true" outlineLevel="0" collapsed="false">
      <c r="A32" s="19" t="s">
        <v>75</v>
      </c>
      <c r="B32" s="41" t="s">
        <v>229</v>
      </c>
      <c r="C32" s="41" t="s">
        <v>230</v>
      </c>
      <c r="D32" s="41" t="s">
        <v>231</v>
      </c>
      <c r="E32" s="20" t="s">
        <v>301</v>
      </c>
      <c r="F32" s="42" t="s">
        <v>304</v>
      </c>
      <c r="G32" s="39"/>
      <c r="H32" s="18"/>
      <c r="I32" s="40"/>
      <c r="J32" s="27" t="s">
        <v>305</v>
      </c>
    </row>
    <row r="33" customFormat="false" ht="30" hidden="false" customHeight="true" outlineLevel="0" collapsed="false">
      <c r="A33" s="10" t="s">
        <v>75</v>
      </c>
      <c r="B33" s="37" t="s">
        <v>229</v>
      </c>
      <c r="C33" s="37" t="s">
        <v>230</v>
      </c>
      <c r="D33" s="37" t="s">
        <v>231</v>
      </c>
      <c r="E33" s="11" t="s">
        <v>301</v>
      </c>
      <c r="F33" s="38" t="s">
        <v>306</v>
      </c>
      <c r="G33" s="39"/>
      <c r="H33" s="18"/>
      <c r="I33" s="40"/>
      <c r="J33" s="26" t="s">
        <v>307</v>
      </c>
    </row>
    <row r="34" customFormat="false" ht="30" hidden="false" customHeight="true" outlineLevel="0" collapsed="false">
      <c r="A34" s="19" t="s">
        <v>75</v>
      </c>
      <c r="B34" s="41" t="s">
        <v>229</v>
      </c>
      <c r="C34" s="41" t="s">
        <v>230</v>
      </c>
      <c r="D34" s="41" t="s">
        <v>231</v>
      </c>
      <c r="E34" s="20" t="s">
        <v>308</v>
      </c>
      <c r="F34" s="42" t="s">
        <v>309</v>
      </c>
      <c r="G34" s="39"/>
      <c r="H34" s="18"/>
      <c r="I34" s="40"/>
      <c r="J34" s="20" t="s">
        <v>310</v>
      </c>
    </row>
    <row r="35" customFormat="false" ht="30" hidden="false" customHeight="true" outlineLevel="0" collapsed="false">
      <c r="A35" s="10" t="s">
        <v>82</v>
      </c>
      <c r="B35" s="37" t="s">
        <v>229</v>
      </c>
      <c r="C35" s="37" t="s">
        <v>230</v>
      </c>
      <c r="D35" s="37" t="s">
        <v>231</v>
      </c>
      <c r="E35" s="11" t="s">
        <v>104</v>
      </c>
      <c r="F35" s="38" t="s">
        <v>311</v>
      </c>
      <c r="G35" s="39"/>
      <c r="H35" s="18"/>
      <c r="I35" s="40"/>
      <c r="J35" s="26" t="s">
        <v>312</v>
      </c>
    </row>
    <row r="36" customFormat="false" ht="30" hidden="false" customHeight="true" outlineLevel="0" collapsed="false">
      <c r="A36" s="19" t="s">
        <v>82</v>
      </c>
      <c r="B36" s="41" t="s">
        <v>229</v>
      </c>
      <c r="C36" s="41" t="s">
        <v>230</v>
      </c>
      <c r="D36" s="41" t="s">
        <v>231</v>
      </c>
      <c r="E36" s="20" t="s">
        <v>55</v>
      </c>
      <c r="F36" s="42" t="s">
        <v>313</v>
      </c>
      <c r="G36" s="39"/>
      <c r="H36" s="18"/>
      <c r="I36" s="40"/>
      <c r="J36" s="20" t="s">
        <v>314</v>
      </c>
    </row>
    <row r="37" customFormat="false" ht="30" hidden="false" customHeight="true" outlineLevel="0" collapsed="false">
      <c r="A37" s="10" t="s">
        <v>82</v>
      </c>
      <c r="B37" s="37" t="s">
        <v>229</v>
      </c>
      <c r="C37" s="37" t="s">
        <v>230</v>
      </c>
      <c r="D37" s="37" t="s">
        <v>231</v>
      </c>
      <c r="E37" s="11" t="s">
        <v>138</v>
      </c>
      <c r="F37" s="38" t="s">
        <v>315</v>
      </c>
      <c r="G37" s="39"/>
      <c r="H37" s="18"/>
      <c r="I37" s="40"/>
      <c r="J37" s="11" t="s">
        <v>316</v>
      </c>
    </row>
    <row r="38" customFormat="false" ht="30" hidden="false" customHeight="true" outlineLevel="0" collapsed="false">
      <c r="A38" s="19" t="s">
        <v>82</v>
      </c>
      <c r="B38" s="41" t="s">
        <v>229</v>
      </c>
      <c r="C38" s="41" t="s">
        <v>230</v>
      </c>
      <c r="D38" s="41" t="s">
        <v>231</v>
      </c>
      <c r="E38" s="20" t="s">
        <v>138</v>
      </c>
      <c r="F38" s="42" t="s">
        <v>317</v>
      </c>
      <c r="G38" s="39"/>
      <c r="H38" s="18"/>
      <c r="I38" s="40"/>
      <c r="J38" s="20" t="s">
        <v>318</v>
      </c>
    </row>
    <row r="39" customFormat="false" ht="30" hidden="false" customHeight="true" outlineLevel="0" collapsed="false">
      <c r="A39" s="10" t="s">
        <v>82</v>
      </c>
      <c r="B39" s="37" t="s">
        <v>229</v>
      </c>
      <c r="C39" s="37" t="s">
        <v>230</v>
      </c>
      <c r="D39" s="37" t="s">
        <v>231</v>
      </c>
      <c r="E39" s="11" t="s">
        <v>319</v>
      </c>
      <c r="F39" s="38" t="s">
        <v>320</v>
      </c>
      <c r="G39" s="39"/>
      <c r="H39" s="18"/>
      <c r="I39" s="40"/>
      <c r="J39" s="11" t="s">
        <v>321</v>
      </c>
    </row>
    <row r="40" customFormat="false" ht="30" hidden="false" customHeight="true" outlineLevel="0" collapsed="false">
      <c r="A40" s="19" t="s">
        <v>82</v>
      </c>
      <c r="B40" s="41" t="s">
        <v>229</v>
      </c>
      <c r="C40" s="41" t="s">
        <v>230</v>
      </c>
      <c r="D40" s="41" t="s">
        <v>231</v>
      </c>
      <c r="E40" s="20" t="s">
        <v>138</v>
      </c>
      <c r="F40" s="42" t="s">
        <v>322</v>
      </c>
      <c r="G40" s="39"/>
      <c r="H40" s="18"/>
      <c r="I40" s="40"/>
      <c r="J40" s="20" t="s">
        <v>323</v>
      </c>
    </row>
    <row r="41" customFormat="false" ht="30" hidden="false" customHeight="true" outlineLevel="0" collapsed="false">
      <c r="A41" s="10" t="s">
        <v>89</v>
      </c>
      <c r="B41" s="37" t="s">
        <v>229</v>
      </c>
      <c r="C41" s="37" t="s">
        <v>230</v>
      </c>
      <c r="D41" s="37" t="s">
        <v>231</v>
      </c>
      <c r="E41" s="11" t="s">
        <v>324</v>
      </c>
      <c r="F41" s="38" t="s">
        <v>325</v>
      </c>
      <c r="G41" s="39"/>
      <c r="H41" s="18"/>
      <c r="I41" s="40"/>
      <c r="J41" s="26" t="s">
        <v>326</v>
      </c>
    </row>
    <row r="42" customFormat="false" ht="30" hidden="false" customHeight="true" outlineLevel="0" collapsed="false">
      <c r="A42" s="19" t="s">
        <v>89</v>
      </c>
      <c r="B42" s="41" t="s">
        <v>229</v>
      </c>
      <c r="C42" s="41" t="s">
        <v>230</v>
      </c>
      <c r="D42" s="41" t="s">
        <v>231</v>
      </c>
      <c r="E42" s="20" t="s">
        <v>324</v>
      </c>
      <c r="F42" s="42" t="s">
        <v>327</v>
      </c>
      <c r="G42" s="39"/>
      <c r="H42" s="18"/>
      <c r="I42" s="40"/>
      <c r="J42" s="20" t="s">
        <v>328</v>
      </c>
    </row>
    <row r="43" customFormat="false" ht="30" hidden="false" customHeight="true" outlineLevel="0" collapsed="false">
      <c r="A43" s="10" t="s">
        <v>89</v>
      </c>
      <c r="B43" s="37" t="s">
        <v>229</v>
      </c>
      <c r="C43" s="37" t="s">
        <v>230</v>
      </c>
      <c r="D43" s="37" t="s">
        <v>231</v>
      </c>
      <c r="E43" s="11" t="s">
        <v>104</v>
      </c>
      <c r="F43" s="38" t="s">
        <v>329</v>
      </c>
      <c r="G43" s="39"/>
      <c r="H43" s="18"/>
      <c r="I43" s="40"/>
      <c r="J43" s="26" t="s">
        <v>330</v>
      </c>
    </row>
    <row r="44" customFormat="false" ht="30" hidden="false" customHeight="true" outlineLevel="0" collapsed="false">
      <c r="A44" s="19" t="s">
        <v>89</v>
      </c>
      <c r="B44" s="41" t="s">
        <v>229</v>
      </c>
      <c r="C44" s="41" t="s">
        <v>230</v>
      </c>
      <c r="D44" s="41" t="s">
        <v>231</v>
      </c>
      <c r="E44" s="20" t="s">
        <v>331</v>
      </c>
      <c r="F44" s="42" t="s">
        <v>332</v>
      </c>
      <c r="G44" s="39"/>
      <c r="H44" s="18"/>
      <c r="I44" s="40"/>
      <c r="J44" s="20" t="s">
        <v>333</v>
      </c>
    </row>
    <row r="45" customFormat="false" ht="30" hidden="false" customHeight="true" outlineLevel="0" collapsed="false">
      <c r="A45" s="10" t="s">
        <v>96</v>
      </c>
      <c r="B45" s="37" t="s">
        <v>229</v>
      </c>
      <c r="C45" s="37" t="s">
        <v>230</v>
      </c>
      <c r="D45" s="37" t="s">
        <v>231</v>
      </c>
      <c r="E45" s="11" t="s">
        <v>97</v>
      </c>
      <c r="F45" s="38" t="s">
        <v>334</v>
      </c>
      <c r="G45" s="39"/>
      <c r="H45" s="18"/>
      <c r="I45" s="40"/>
      <c r="J45" s="26" t="s">
        <v>335</v>
      </c>
    </row>
    <row r="46" customFormat="false" ht="30" hidden="false" customHeight="true" outlineLevel="0" collapsed="false">
      <c r="A46" s="19" t="s">
        <v>96</v>
      </c>
      <c r="B46" s="41" t="s">
        <v>229</v>
      </c>
      <c r="C46" s="41" t="s">
        <v>230</v>
      </c>
      <c r="D46" s="41" t="s">
        <v>231</v>
      </c>
      <c r="E46" s="20" t="s">
        <v>97</v>
      </c>
      <c r="F46" s="42" t="s">
        <v>336</v>
      </c>
      <c r="G46" s="39"/>
      <c r="H46" s="18"/>
      <c r="I46" s="40"/>
      <c r="J46" s="27" t="s">
        <v>337</v>
      </c>
    </row>
    <row r="47" customFormat="false" ht="30" hidden="false" customHeight="true" outlineLevel="0" collapsed="false">
      <c r="A47" s="10" t="s">
        <v>96</v>
      </c>
      <c r="B47" s="37" t="s">
        <v>229</v>
      </c>
      <c r="C47" s="37" t="s">
        <v>230</v>
      </c>
      <c r="D47" s="37" t="s">
        <v>231</v>
      </c>
      <c r="E47" s="11" t="s">
        <v>97</v>
      </c>
      <c r="F47" s="38" t="s">
        <v>338</v>
      </c>
      <c r="G47" s="39"/>
      <c r="H47" s="18"/>
      <c r="I47" s="40"/>
      <c r="J47" s="11" t="s">
        <v>339</v>
      </c>
    </row>
    <row r="48" customFormat="false" ht="30" hidden="false" customHeight="true" outlineLevel="0" collapsed="false">
      <c r="A48" s="19" t="s">
        <v>96</v>
      </c>
      <c r="B48" s="41" t="s">
        <v>229</v>
      </c>
      <c r="C48" s="41" t="s">
        <v>230</v>
      </c>
      <c r="D48" s="41" t="s">
        <v>231</v>
      </c>
      <c r="E48" s="20" t="s">
        <v>340</v>
      </c>
      <c r="F48" s="42" t="s">
        <v>341</v>
      </c>
      <c r="G48" s="39"/>
      <c r="H48" s="18"/>
      <c r="I48" s="40"/>
      <c r="J48" s="20" t="s">
        <v>342</v>
      </c>
    </row>
    <row r="49" customFormat="false" ht="30" hidden="false" customHeight="true" outlineLevel="0" collapsed="false">
      <c r="A49" s="10" t="s">
        <v>96</v>
      </c>
      <c r="B49" s="37" t="s">
        <v>229</v>
      </c>
      <c r="C49" s="37" t="s">
        <v>230</v>
      </c>
      <c r="D49" s="37" t="s">
        <v>231</v>
      </c>
      <c r="E49" s="11" t="s">
        <v>340</v>
      </c>
      <c r="F49" s="38" t="s">
        <v>343</v>
      </c>
      <c r="G49" s="39"/>
      <c r="H49" s="18"/>
      <c r="I49" s="40"/>
      <c r="J49" s="11" t="s">
        <v>344</v>
      </c>
    </row>
    <row r="50" customFormat="false" ht="30" hidden="false" customHeight="true" outlineLevel="0" collapsed="false">
      <c r="A50" s="19" t="s">
        <v>96</v>
      </c>
      <c r="B50" s="41" t="s">
        <v>229</v>
      </c>
      <c r="C50" s="41" t="s">
        <v>230</v>
      </c>
      <c r="D50" s="41" t="s">
        <v>231</v>
      </c>
      <c r="E50" s="20" t="s">
        <v>340</v>
      </c>
      <c r="F50" s="42" t="s">
        <v>345</v>
      </c>
      <c r="G50" s="39"/>
      <c r="H50" s="18"/>
      <c r="I50" s="40"/>
      <c r="J50" s="27" t="s">
        <v>346</v>
      </c>
    </row>
    <row r="51" customFormat="false" ht="30" hidden="false" customHeight="true" outlineLevel="0" collapsed="false">
      <c r="A51" s="10" t="s">
        <v>103</v>
      </c>
      <c r="B51" s="37" t="s">
        <v>229</v>
      </c>
      <c r="C51" s="37" t="s">
        <v>230</v>
      </c>
      <c r="D51" s="37" t="s">
        <v>231</v>
      </c>
      <c r="E51" s="11" t="s">
        <v>347</v>
      </c>
      <c r="F51" s="38" t="s">
        <v>348</v>
      </c>
      <c r="G51" s="39"/>
      <c r="H51" s="18"/>
      <c r="I51" s="40"/>
      <c r="J51" s="11" t="s">
        <v>349</v>
      </c>
    </row>
    <row r="52" customFormat="false" ht="30" hidden="false" customHeight="true" outlineLevel="0" collapsed="false">
      <c r="A52" s="19" t="s">
        <v>103</v>
      </c>
      <c r="B52" s="41" t="s">
        <v>229</v>
      </c>
      <c r="C52" s="41" t="s">
        <v>230</v>
      </c>
      <c r="D52" s="41" t="s">
        <v>231</v>
      </c>
      <c r="E52" s="20" t="s">
        <v>104</v>
      </c>
      <c r="F52" s="42" t="s">
        <v>350</v>
      </c>
      <c r="G52" s="39"/>
      <c r="H52" s="18"/>
      <c r="I52" s="40"/>
      <c r="J52" s="20" t="s">
        <v>351</v>
      </c>
    </row>
    <row r="53" customFormat="false" ht="30" hidden="false" customHeight="true" outlineLevel="0" collapsed="false">
      <c r="A53" s="10" t="s">
        <v>103</v>
      </c>
      <c r="B53" s="37" t="s">
        <v>229</v>
      </c>
      <c r="C53" s="37" t="s">
        <v>230</v>
      </c>
      <c r="D53" s="37" t="s">
        <v>231</v>
      </c>
      <c r="E53" s="11" t="s">
        <v>352</v>
      </c>
      <c r="F53" s="38" t="s">
        <v>353</v>
      </c>
      <c r="G53" s="39"/>
      <c r="H53" s="18"/>
      <c r="I53" s="40"/>
      <c r="J53" s="11" t="s">
        <v>354</v>
      </c>
    </row>
    <row r="54" customFormat="false" ht="30" hidden="false" customHeight="true" outlineLevel="0" collapsed="false">
      <c r="A54" s="19" t="s">
        <v>103</v>
      </c>
      <c r="B54" s="41" t="s">
        <v>229</v>
      </c>
      <c r="C54" s="41" t="s">
        <v>230</v>
      </c>
      <c r="D54" s="41" t="s">
        <v>231</v>
      </c>
      <c r="E54" s="20" t="s">
        <v>104</v>
      </c>
      <c r="F54" s="43" t="s">
        <v>355</v>
      </c>
      <c r="G54" s="39"/>
      <c r="H54" s="18"/>
      <c r="I54" s="40"/>
      <c r="J54" s="27" t="s">
        <v>356</v>
      </c>
    </row>
    <row r="55" customFormat="false" ht="30" hidden="false" customHeight="true" outlineLevel="0" collapsed="false">
      <c r="A55" s="10" t="s">
        <v>103</v>
      </c>
      <c r="B55" s="37" t="s">
        <v>229</v>
      </c>
      <c r="C55" s="37" t="s">
        <v>230</v>
      </c>
      <c r="D55" s="37" t="s">
        <v>231</v>
      </c>
      <c r="E55" s="11" t="s">
        <v>104</v>
      </c>
      <c r="F55" s="38" t="s">
        <v>357</v>
      </c>
      <c r="G55" s="39"/>
      <c r="H55" s="18"/>
      <c r="I55" s="40"/>
      <c r="J55" s="11" t="s">
        <v>358</v>
      </c>
    </row>
    <row r="56" customFormat="false" ht="30" hidden="false" customHeight="true" outlineLevel="0" collapsed="false">
      <c r="A56" s="19" t="s">
        <v>103</v>
      </c>
      <c r="B56" s="41" t="s">
        <v>229</v>
      </c>
      <c r="C56" s="41" t="s">
        <v>230</v>
      </c>
      <c r="D56" s="41" t="s">
        <v>231</v>
      </c>
      <c r="E56" s="20" t="s">
        <v>359</v>
      </c>
      <c r="F56" s="42" t="s">
        <v>360</v>
      </c>
      <c r="G56" s="39"/>
      <c r="H56" s="18"/>
      <c r="I56" s="40"/>
      <c r="J56" s="20" t="s">
        <v>361</v>
      </c>
    </row>
    <row r="57" customFormat="false" ht="30" hidden="false" customHeight="true" outlineLevel="0" collapsed="false">
      <c r="A57" s="10" t="s">
        <v>111</v>
      </c>
      <c r="B57" s="37" t="s">
        <v>362</v>
      </c>
      <c r="C57" s="37" t="s">
        <v>363</v>
      </c>
      <c r="D57" s="37" t="s">
        <v>231</v>
      </c>
      <c r="E57" s="11" t="s">
        <v>232</v>
      </c>
      <c r="F57" s="38" t="s">
        <v>233</v>
      </c>
      <c r="G57" s="39"/>
      <c r="H57" s="18"/>
      <c r="I57" s="40"/>
      <c r="J57" s="11" t="s">
        <v>234</v>
      </c>
    </row>
    <row r="58" customFormat="false" ht="30" hidden="false" customHeight="true" outlineLevel="0" collapsed="false">
      <c r="A58" s="19" t="s">
        <v>111</v>
      </c>
      <c r="B58" s="41" t="s">
        <v>362</v>
      </c>
      <c r="C58" s="41" t="s">
        <v>363</v>
      </c>
      <c r="D58" s="41" t="s">
        <v>231</v>
      </c>
      <c r="E58" s="20" t="s">
        <v>235</v>
      </c>
      <c r="F58" s="42" t="s">
        <v>236</v>
      </c>
      <c r="G58" s="39"/>
      <c r="H58" s="18"/>
      <c r="I58" s="40"/>
      <c r="J58" s="27" t="s">
        <v>237</v>
      </c>
    </row>
    <row r="59" customFormat="false" ht="30" hidden="false" customHeight="true" outlineLevel="0" collapsed="false">
      <c r="A59" s="10" t="s">
        <v>111</v>
      </c>
      <c r="B59" s="37" t="s">
        <v>362</v>
      </c>
      <c r="C59" s="37" t="s">
        <v>363</v>
      </c>
      <c r="D59" s="37" t="s">
        <v>231</v>
      </c>
      <c r="E59" s="11" t="s">
        <v>238</v>
      </c>
      <c r="F59" s="38" t="s">
        <v>239</v>
      </c>
      <c r="G59" s="39"/>
      <c r="H59" s="18"/>
      <c r="I59" s="40"/>
      <c r="J59" s="26" t="s">
        <v>240</v>
      </c>
    </row>
    <row r="60" customFormat="false" ht="30" hidden="false" customHeight="true" outlineLevel="0" collapsed="false">
      <c r="A60" s="19" t="s">
        <v>111</v>
      </c>
      <c r="B60" s="41" t="s">
        <v>362</v>
      </c>
      <c r="C60" s="41" t="s">
        <v>363</v>
      </c>
      <c r="D60" s="41" t="s">
        <v>231</v>
      </c>
      <c r="E60" s="20" t="s">
        <v>241</v>
      </c>
      <c r="F60" s="42" t="s">
        <v>242</v>
      </c>
      <c r="G60" s="39"/>
      <c r="H60" s="18"/>
      <c r="I60" s="40"/>
      <c r="J60" s="27" t="s">
        <v>364</v>
      </c>
    </row>
    <row r="61" customFormat="false" ht="30" hidden="false" customHeight="true" outlineLevel="0" collapsed="false">
      <c r="A61" s="10" t="s">
        <v>111</v>
      </c>
      <c r="B61" s="37" t="s">
        <v>362</v>
      </c>
      <c r="C61" s="37" t="s">
        <v>363</v>
      </c>
      <c r="D61" s="37" t="s">
        <v>231</v>
      </c>
      <c r="E61" s="11" t="s">
        <v>62</v>
      </c>
      <c r="F61" s="38" t="s">
        <v>244</v>
      </c>
      <c r="G61" s="39"/>
      <c r="H61" s="18"/>
      <c r="I61" s="40"/>
      <c r="J61" s="11" t="s">
        <v>365</v>
      </c>
    </row>
    <row r="62" customFormat="false" ht="30" hidden="false" customHeight="true" outlineLevel="0" collapsed="false">
      <c r="A62" s="19" t="s">
        <v>114</v>
      </c>
      <c r="B62" s="41" t="s">
        <v>362</v>
      </c>
      <c r="C62" s="41" t="s">
        <v>363</v>
      </c>
      <c r="D62" s="41" t="s">
        <v>231</v>
      </c>
      <c r="E62" s="20" t="s">
        <v>258</v>
      </c>
      <c r="F62" s="42" t="s">
        <v>259</v>
      </c>
      <c r="G62" s="39"/>
      <c r="H62" s="18"/>
      <c r="I62" s="40"/>
      <c r="J62" s="20" t="s">
        <v>260</v>
      </c>
    </row>
    <row r="63" customFormat="false" ht="30" hidden="false" customHeight="true" outlineLevel="0" collapsed="false">
      <c r="A63" s="10" t="s">
        <v>114</v>
      </c>
      <c r="B63" s="37" t="s">
        <v>362</v>
      </c>
      <c r="C63" s="37" t="s">
        <v>363</v>
      </c>
      <c r="D63" s="37" t="s">
        <v>231</v>
      </c>
      <c r="E63" s="11" t="s">
        <v>48</v>
      </c>
      <c r="F63" s="38" t="s">
        <v>366</v>
      </c>
      <c r="G63" s="39"/>
      <c r="H63" s="18"/>
      <c r="I63" s="40"/>
      <c r="J63" s="11" t="s">
        <v>367</v>
      </c>
    </row>
    <row r="64" customFormat="false" ht="30" hidden="false" customHeight="true" outlineLevel="0" collapsed="false">
      <c r="A64" s="19" t="s">
        <v>114</v>
      </c>
      <c r="B64" s="41" t="s">
        <v>362</v>
      </c>
      <c r="C64" s="41" t="s">
        <v>363</v>
      </c>
      <c r="D64" s="41" t="s">
        <v>231</v>
      </c>
      <c r="E64" s="20" t="s">
        <v>48</v>
      </c>
      <c r="F64" s="42" t="s">
        <v>368</v>
      </c>
      <c r="G64" s="39"/>
      <c r="H64" s="18"/>
      <c r="I64" s="40"/>
      <c r="J64" s="20" t="s">
        <v>369</v>
      </c>
    </row>
    <row r="65" customFormat="false" ht="30" hidden="false" customHeight="true" outlineLevel="0" collapsed="false">
      <c r="A65" s="10" t="s">
        <v>114</v>
      </c>
      <c r="B65" s="37" t="s">
        <v>362</v>
      </c>
      <c r="C65" s="37" t="s">
        <v>363</v>
      </c>
      <c r="D65" s="37" t="s">
        <v>231</v>
      </c>
      <c r="E65" s="11" t="s">
        <v>255</v>
      </c>
      <c r="F65" s="38" t="s">
        <v>256</v>
      </c>
      <c r="G65" s="39"/>
      <c r="H65" s="18"/>
      <c r="I65" s="40"/>
      <c r="J65" s="26" t="s">
        <v>370</v>
      </c>
    </row>
    <row r="66" customFormat="false" ht="30" hidden="false" customHeight="true" outlineLevel="0" collapsed="false">
      <c r="A66" s="19" t="s">
        <v>114</v>
      </c>
      <c r="B66" s="41" t="s">
        <v>362</v>
      </c>
      <c r="C66" s="41" t="s">
        <v>363</v>
      </c>
      <c r="D66" s="41" t="s">
        <v>231</v>
      </c>
      <c r="E66" s="20" t="s">
        <v>371</v>
      </c>
      <c r="F66" s="42" t="s">
        <v>372</v>
      </c>
      <c r="G66" s="39"/>
      <c r="H66" s="18"/>
      <c r="I66" s="40"/>
      <c r="J66" s="20" t="s">
        <v>373</v>
      </c>
    </row>
    <row r="67" customFormat="false" ht="30" hidden="false" customHeight="true" outlineLevel="0" collapsed="false">
      <c r="A67" s="10" t="s">
        <v>120</v>
      </c>
      <c r="B67" s="37" t="s">
        <v>362</v>
      </c>
      <c r="C67" s="37" t="s">
        <v>363</v>
      </c>
      <c r="D67" s="37" t="s">
        <v>231</v>
      </c>
      <c r="E67" s="11" t="s">
        <v>62</v>
      </c>
      <c r="F67" s="38" t="s">
        <v>271</v>
      </c>
      <c r="G67" s="39"/>
      <c r="H67" s="18"/>
      <c r="I67" s="40"/>
      <c r="J67" s="11" t="s">
        <v>374</v>
      </c>
    </row>
    <row r="68" customFormat="false" ht="30" hidden="false" customHeight="true" outlineLevel="0" collapsed="false">
      <c r="A68" s="19" t="s">
        <v>120</v>
      </c>
      <c r="B68" s="41" t="s">
        <v>362</v>
      </c>
      <c r="C68" s="41" t="s">
        <v>363</v>
      </c>
      <c r="D68" s="41" t="s">
        <v>231</v>
      </c>
      <c r="E68" s="20" t="s">
        <v>62</v>
      </c>
      <c r="F68" s="42" t="s">
        <v>273</v>
      </c>
      <c r="G68" s="39"/>
      <c r="H68" s="18"/>
      <c r="I68" s="40"/>
      <c r="J68" s="20" t="s">
        <v>274</v>
      </c>
    </row>
    <row r="69" customFormat="false" ht="30" hidden="false" customHeight="true" outlineLevel="0" collapsed="false">
      <c r="A69" s="10" t="s">
        <v>120</v>
      </c>
      <c r="B69" s="37" t="s">
        <v>362</v>
      </c>
      <c r="C69" s="37" t="s">
        <v>363</v>
      </c>
      <c r="D69" s="37" t="s">
        <v>231</v>
      </c>
      <c r="E69" s="11" t="s">
        <v>62</v>
      </c>
      <c r="F69" s="38" t="s">
        <v>275</v>
      </c>
      <c r="G69" s="39"/>
      <c r="H69" s="18"/>
      <c r="I69" s="40"/>
      <c r="J69" s="11" t="s">
        <v>276</v>
      </c>
    </row>
    <row r="70" customFormat="false" ht="30" hidden="false" customHeight="true" outlineLevel="0" collapsed="false">
      <c r="A70" s="19" t="s">
        <v>120</v>
      </c>
      <c r="B70" s="41" t="s">
        <v>362</v>
      </c>
      <c r="C70" s="41" t="s">
        <v>363</v>
      </c>
      <c r="D70" s="41" t="s">
        <v>231</v>
      </c>
      <c r="E70" s="20" t="s">
        <v>277</v>
      </c>
      <c r="F70" s="42" t="s">
        <v>278</v>
      </c>
      <c r="G70" s="39"/>
      <c r="H70" s="18"/>
      <c r="I70" s="40"/>
      <c r="J70" s="20" t="s">
        <v>279</v>
      </c>
    </row>
    <row r="71" customFormat="false" ht="30" hidden="false" customHeight="true" outlineLevel="0" collapsed="false">
      <c r="A71" s="10" t="s">
        <v>120</v>
      </c>
      <c r="B71" s="37" t="s">
        <v>362</v>
      </c>
      <c r="C71" s="37" t="s">
        <v>363</v>
      </c>
      <c r="D71" s="37" t="s">
        <v>231</v>
      </c>
      <c r="E71" s="11" t="s">
        <v>280</v>
      </c>
      <c r="F71" s="44" t="s">
        <v>281</v>
      </c>
      <c r="G71" s="39"/>
      <c r="H71" s="18"/>
      <c r="I71" s="40"/>
      <c r="J71" s="26" t="s">
        <v>375</v>
      </c>
    </row>
    <row r="72" customFormat="false" ht="30" hidden="false" customHeight="true" outlineLevel="0" collapsed="false">
      <c r="A72" s="19" t="s">
        <v>120</v>
      </c>
      <c r="B72" s="41" t="s">
        <v>362</v>
      </c>
      <c r="C72" s="41" t="s">
        <v>363</v>
      </c>
      <c r="D72" s="41" t="s">
        <v>231</v>
      </c>
      <c r="E72" s="20" t="s">
        <v>62</v>
      </c>
      <c r="F72" s="42" t="s">
        <v>285</v>
      </c>
      <c r="G72" s="39"/>
      <c r="H72" s="18"/>
      <c r="I72" s="40"/>
      <c r="J72" s="20" t="s">
        <v>286</v>
      </c>
    </row>
    <row r="73" customFormat="false" ht="30" hidden="false" customHeight="true" outlineLevel="0" collapsed="false">
      <c r="A73" s="10" t="s">
        <v>125</v>
      </c>
      <c r="B73" s="37" t="s">
        <v>362</v>
      </c>
      <c r="C73" s="37" t="s">
        <v>363</v>
      </c>
      <c r="D73" s="37" t="s">
        <v>231</v>
      </c>
      <c r="E73" s="11" t="s">
        <v>104</v>
      </c>
      <c r="F73" s="38" t="s">
        <v>376</v>
      </c>
      <c r="G73" s="39"/>
      <c r="H73" s="18"/>
      <c r="I73" s="40"/>
      <c r="J73" s="11" t="s">
        <v>377</v>
      </c>
    </row>
    <row r="74" customFormat="false" ht="30" hidden="false" customHeight="true" outlineLevel="0" collapsed="false">
      <c r="A74" s="19" t="s">
        <v>125</v>
      </c>
      <c r="B74" s="41" t="s">
        <v>362</v>
      </c>
      <c r="C74" s="41" t="s">
        <v>363</v>
      </c>
      <c r="D74" s="41" t="s">
        <v>231</v>
      </c>
      <c r="E74" s="20" t="s">
        <v>352</v>
      </c>
      <c r="F74" s="42" t="s">
        <v>378</v>
      </c>
      <c r="G74" s="39"/>
      <c r="H74" s="18"/>
      <c r="I74" s="40"/>
      <c r="J74" s="20" t="s">
        <v>379</v>
      </c>
    </row>
    <row r="75" customFormat="false" ht="30" hidden="false" customHeight="true" outlineLevel="0" collapsed="false">
      <c r="A75" s="10" t="s">
        <v>125</v>
      </c>
      <c r="B75" s="37" t="s">
        <v>362</v>
      </c>
      <c r="C75" s="37" t="s">
        <v>363</v>
      </c>
      <c r="D75" s="37" t="s">
        <v>231</v>
      </c>
      <c r="E75" s="11" t="s">
        <v>352</v>
      </c>
      <c r="F75" s="38" t="s">
        <v>380</v>
      </c>
      <c r="G75" s="39"/>
      <c r="H75" s="18"/>
      <c r="I75" s="40"/>
      <c r="J75" s="11" t="s">
        <v>381</v>
      </c>
    </row>
    <row r="76" customFormat="false" ht="30" hidden="false" customHeight="true" outlineLevel="0" collapsed="false">
      <c r="A76" s="19" t="s">
        <v>125</v>
      </c>
      <c r="B76" s="41" t="s">
        <v>362</v>
      </c>
      <c r="C76" s="41" t="s">
        <v>363</v>
      </c>
      <c r="D76" s="41" t="s">
        <v>231</v>
      </c>
      <c r="E76" s="20" t="s">
        <v>352</v>
      </c>
      <c r="F76" s="42" t="s">
        <v>353</v>
      </c>
      <c r="G76" s="39"/>
      <c r="H76" s="18"/>
      <c r="I76" s="40"/>
      <c r="J76" s="27" t="s">
        <v>382</v>
      </c>
    </row>
    <row r="77" customFormat="false" ht="30" hidden="false" customHeight="true" outlineLevel="0" collapsed="false">
      <c r="A77" s="10" t="s">
        <v>125</v>
      </c>
      <c r="B77" s="37" t="s">
        <v>362</v>
      </c>
      <c r="C77" s="37" t="s">
        <v>363</v>
      </c>
      <c r="D77" s="37" t="s">
        <v>231</v>
      </c>
      <c r="E77" s="11" t="s">
        <v>352</v>
      </c>
      <c r="F77" s="38" t="s">
        <v>383</v>
      </c>
      <c r="G77" s="39"/>
      <c r="H77" s="18"/>
      <c r="I77" s="40"/>
      <c r="J77" s="11" t="s">
        <v>384</v>
      </c>
    </row>
    <row r="78" customFormat="false" ht="30" hidden="false" customHeight="true" outlineLevel="0" collapsed="false">
      <c r="A78" s="19" t="s">
        <v>125</v>
      </c>
      <c r="B78" s="41" t="s">
        <v>362</v>
      </c>
      <c r="C78" s="41" t="s">
        <v>363</v>
      </c>
      <c r="D78" s="41" t="s">
        <v>231</v>
      </c>
      <c r="E78" s="20" t="s">
        <v>352</v>
      </c>
      <c r="F78" s="42" t="s">
        <v>385</v>
      </c>
      <c r="G78" s="39"/>
      <c r="H78" s="18"/>
      <c r="I78" s="40"/>
      <c r="J78" s="20" t="s">
        <v>386</v>
      </c>
    </row>
    <row r="79" customFormat="false" ht="30" hidden="false" customHeight="true" outlineLevel="0" collapsed="false">
      <c r="A79" s="10" t="s">
        <v>131</v>
      </c>
      <c r="B79" s="37" t="s">
        <v>362</v>
      </c>
      <c r="C79" s="37" t="s">
        <v>363</v>
      </c>
      <c r="D79" s="37" t="s">
        <v>231</v>
      </c>
      <c r="E79" s="11" t="s">
        <v>287</v>
      </c>
      <c r="F79" s="38" t="s">
        <v>288</v>
      </c>
      <c r="G79" s="39"/>
      <c r="H79" s="18"/>
      <c r="I79" s="40"/>
      <c r="J79" s="26" t="s">
        <v>289</v>
      </c>
    </row>
    <row r="80" customFormat="false" ht="30" hidden="false" customHeight="true" outlineLevel="0" collapsed="false">
      <c r="A80" s="19" t="s">
        <v>131</v>
      </c>
      <c r="B80" s="41" t="s">
        <v>362</v>
      </c>
      <c r="C80" s="41" t="s">
        <v>363</v>
      </c>
      <c r="D80" s="41" t="s">
        <v>231</v>
      </c>
      <c r="E80" s="20" t="s">
        <v>287</v>
      </c>
      <c r="F80" s="42" t="s">
        <v>290</v>
      </c>
      <c r="G80" s="39"/>
      <c r="H80" s="18"/>
      <c r="I80" s="40"/>
      <c r="J80" s="20" t="s">
        <v>291</v>
      </c>
    </row>
    <row r="81" customFormat="false" ht="30" hidden="false" customHeight="true" outlineLevel="0" collapsed="false">
      <c r="A81" s="10" t="s">
        <v>131</v>
      </c>
      <c r="B81" s="37" t="s">
        <v>362</v>
      </c>
      <c r="C81" s="37" t="s">
        <v>363</v>
      </c>
      <c r="D81" s="37" t="s">
        <v>231</v>
      </c>
      <c r="E81" s="11" t="s">
        <v>287</v>
      </c>
      <c r="F81" s="38" t="s">
        <v>387</v>
      </c>
      <c r="G81" s="39"/>
      <c r="H81" s="18"/>
      <c r="I81" s="40"/>
      <c r="J81" s="11" t="s">
        <v>388</v>
      </c>
    </row>
    <row r="82" customFormat="false" ht="30" hidden="false" customHeight="true" outlineLevel="0" collapsed="false">
      <c r="A82" s="19" t="s">
        <v>131</v>
      </c>
      <c r="B82" s="41" t="s">
        <v>362</v>
      </c>
      <c r="C82" s="41" t="s">
        <v>363</v>
      </c>
      <c r="D82" s="41" t="s">
        <v>231</v>
      </c>
      <c r="E82" s="20" t="s">
        <v>69</v>
      </c>
      <c r="F82" s="42" t="s">
        <v>297</v>
      </c>
      <c r="G82" s="39"/>
      <c r="H82" s="18"/>
      <c r="I82" s="40"/>
      <c r="J82" s="27" t="s">
        <v>298</v>
      </c>
    </row>
    <row r="83" customFormat="false" ht="30" hidden="false" customHeight="true" outlineLevel="0" collapsed="false">
      <c r="A83" s="10" t="s">
        <v>131</v>
      </c>
      <c r="B83" s="37" t="s">
        <v>362</v>
      </c>
      <c r="C83" s="37" t="s">
        <v>363</v>
      </c>
      <c r="D83" s="37" t="s">
        <v>231</v>
      </c>
      <c r="E83" s="11" t="s">
        <v>294</v>
      </c>
      <c r="F83" s="44" t="s">
        <v>295</v>
      </c>
      <c r="G83" s="39"/>
      <c r="H83" s="18"/>
      <c r="I83" s="40"/>
      <c r="J83" s="26" t="s">
        <v>296</v>
      </c>
    </row>
    <row r="84" customFormat="false" ht="30" hidden="false" customHeight="true" outlineLevel="0" collapsed="false">
      <c r="A84" s="19" t="s">
        <v>131</v>
      </c>
      <c r="B84" s="41" t="s">
        <v>362</v>
      </c>
      <c r="C84" s="41" t="s">
        <v>363</v>
      </c>
      <c r="D84" s="41" t="s">
        <v>231</v>
      </c>
      <c r="E84" s="20" t="s">
        <v>55</v>
      </c>
      <c r="F84" s="42" t="s">
        <v>389</v>
      </c>
      <c r="G84" s="39"/>
      <c r="H84" s="18"/>
      <c r="I84" s="40"/>
      <c r="J84" s="20" t="s">
        <v>390</v>
      </c>
    </row>
    <row r="85" customFormat="false" ht="30" hidden="false" customHeight="true" outlineLevel="0" collapsed="false">
      <c r="A85" s="10" t="s">
        <v>131</v>
      </c>
      <c r="B85" s="37" t="s">
        <v>362</v>
      </c>
      <c r="C85" s="37" t="s">
        <v>363</v>
      </c>
      <c r="D85" s="37" t="s">
        <v>231</v>
      </c>
      <c r="E85" s="11" t="s">
        <v>232</v>
      </c>
      <c r="F85" s="38" t="s">
        <v>265</v>
      </c>
      <c r="G85" s="39"/>
      <c r="H85" s="18"/>
      <c r="I85" s="40"/>
      <c r="J85" s="11" t="s">
        <v>266</v>
      </c>
    </row>
    <row r="86" customFormat="false" ht="30" hidden="false" customHeight="true" outlineLevel="0" collapsed="false">
      <c r="A86" s="19" t="s">
        <v>137</v>
      </c>
      <c r="B86" s="41" t="s">
        <v>362</v>
      </c>
      <c r="C86" s="41" t="s">
        <v>363</v>
      </c>
      <c r="D86" s="41" t="s">
        <v>231</v>
      </c>
      <c r="E86" s="20" t="s">
        <v>138</v>
      </c>
      <c r="F86" s="42" t="s">
        <v>315</v>
      </c>
      <c r="G86" s="39"/>
      <c r="H86" s="18"/>
      <c r="I86" s="40"/>
      <c r="J86" s="20" t="s">
        <v>391</v>
      </c>
    </row>
    <row r="87" customFormat="false" ht="30" hidden="false" customHeight="true" outlineLevel="0" collapsed="false">
      <c r="A87" s="10" t="s">
        <v>137</v>
      </c>
      <c r="B87" s="37" t="s">
        <v>362</v>
      </c>
      <c r="C87" s="37" t="s">
        <v>363</v>
      </c>
      <c r="D87" s="37" t="s">
        <v>231</v>
      </c>
      <c r="E87" s="11" t="s">
        <v>138</v>
      </c>
      <c r="F87" s="38" t="s">
        <v>392</v>
      </c>
      <c r="G87" s="39"/>
      <c r="H87" s="18"/>
      <c r="I87" s="40"/>
      <c r="J87" s="11" t="s">
        <v>393</v>
      </c>
    </row>
    <row r="88" customFormat="false" ht="30" hidden="false" customHeight="true" outlineLevel="0" collapsed="false">
      <c r="A88" s="19" t="s">
        <v>137</v>
      </c>
      <c r="B88" s="41" t="s">
        <v>362</v>
      </c>
      <c r="C88" s="41" t="s">
        <v>363</v>
      </c>
      <c r="D88" s="41" t="s">
        <v>231</v>
      </c>
      <c r="E88" s="20" t="s">
        <v>138</v>
      </c>
      <c r="F88" s="42" t="s">
        <v>394</v>
      </c>
      <c r="G88" s="39"/>
      <c r="H88" s="18"/>
      <c r="I88" s="40"/>
      <c r="J88" s="20" t="s">
        <v>395</v>
      </c>
    </row>
    <row r="89" customFormat="false" ht="30" hidden="false" customHeight="true" outlineLevel="0" collapsed="false">
      <c r="A89" s="10" t="s">
        <v>137</v>
      </c>
      <c r="B89" s="37" t="s">
        <v>362</v>
      </c>
      <c r="C89" s="37" t="s">
        <v>363</v>
      </c>
      <c r="D89" s="37" t="s">
        <v>231</v>
      </c>
      <c r="E89" s="11" t="s">
        <v>138</v>
      </c>
      <c r="F89" s="38" t="s">
        <v>396</v>
      </c>
      <c r="G89" s="39"/>
      <c r="H89" s="18"/>
      <c r="I89" s="40"/>
      <c r="J89" s="11" t="s">
        <v>397</v>
      </c>
    </row>
    <row r="90" customFormat="false" ht="30" hidden="false" customHeight="true" outlineLevel="0" collapsed="false">
      <c r="A90" s="19" t="s">
        <v>137</v>
      </c>
      <c r="B90" s="41" t="s">
        <v>362</v>
      </c>
      <c r="C90" s="41" t="s">
        <v>363</v>
      </c>
      <c r="D90" s="41" t="s">
        <v>231</v>
      </c>
      <c r="E90" s="20" t="s">
        <v>138</v>
      </c>
      <c r="F90" s="42" t="s">
        <v>398</v>
      </c>
      <c r="G90" s="39"/>
      <c r="H90" s="18"/>
      <c r="I90" s="40"/>
      <c r="J90" s="20" t="s">
        <v>399</v>
      </c>
    </row>
    <row r="91" customFormat="false" ht="30" hidden="false" customHeight="true" outlineLevel="0" collapsed="false">
      <c r="A91" s="10" t="s">
        <v>144</v>
      </c>
      <c r="B91" s="37" t="s">
        <v>362</v>
      </c>
      <c r="C91" s="37" t="s">
        <v>363</v>
      </c>
      <c r="D91" s="37" t="s">
        <v>231</v>
      </c>
      <c r="E91" s="11" t="s">
        <v>138</v>
      </c>
      <c r="F91" s="38" t="s">
        <v>400</v>
      </c>
      <c r="G91" s="39"/>
      <c r="H91" s="18"/>
      <c r="I91" s="40"/>
      <c r="J91" s="11" t="s">
        <v>401</v>
      </c>
    </row>
    <row r="92" customFormat="false" ht="30" hidden="false" customHeight="true" outlineLevel="0" collapsed="false">
      <c r="A92" s="19" t="s">
        <v>144</v>
      </c>
      <c r="B92" s="41" t="s">
        <v>362</v>
      </c>
      <c r="C92" s="41" t="s">
        <v>363</v>
      </c>
      <c r="D92" s="41" t="s">
        <v>231</v>
      </c>
      <c r="E92" s="20" t="s">
        <v>402</v>
      </c>
      <c r="F92" s="42" t="s">
        <v>403</v>
      </c>
      <c r="G92" s="39"/>
      <c r="H92" s="18"/>
      <c r="I92" s="40"/>
      <c r="J92" s="20" t="s">
        <v>404</v>
      </c>
    </row>
    <row r="93" customFormat="false" ht="30" hidden="false" customHeight="true" outlineLevel="0" collapsed="false">
      <c r="A93" s="10" t="s">
        <v>144</v>
      </c>
      <c r="B93" s="37" t="s">
        <v>362</v>
      </c>
      <c r="C93" s="37" t="s">
        <v>363</v>
      </c>
      <c r="D93" s="37" t="s">
        <v>231</v>
      </c>
      <c r="E93" s="11" t="s">
        <v>319</v>
      </c>
      <c r="F93" s="38" t="s">
        <v>405</v>
      </c>
      <c r="G93" s="39"/>
      <c r="H93" s="18"/>
      <c r="I93" s="40"/>
      <c r="J93" s="11" t="s">
        <v>321</v>
      </c>
    </row>
    <row r="94" customFormat="false" ht="30" hidden="false" customHeight="true" outlineLevel="0" collapsed="false">
      <c r="A94" s="19" t="s">
        <v>144</v>
      </c>
      <c r="B94" s="41" t="s">
        <v>362</v>
      </c>
      <c r="C94" s="41" t="s">
        <v>363</v>
      </c>
      <c r="D94" s="41" t="s">
        <v>231</v>
      </c>
      <c r="E94" s="20" t="s">
        <v>104</v>
      </c>
      <c r="F94" s="42" t="s">
        <v>406</v>
      </c>
      <c r="G94" s="39"/>
      <c r="H94" s="18"/>
      <c r="I94" s="40"/>
      <c r="J94" s="20" t="s">
        <v>407</v>
      </c>
    </row>
    <row r="95" customFormat="false" ht="30" hidden="false" customHeight="true" outlineLevel="0" collapsed="false">
      <c r="A95" s="10" t="s">
        <v>144</v>
      </c>
      <c r="B95" s="37" t="s">
        <v>362</v>
      </c>
      <c r="C95" s="37" t="s">
        <v>363</v>
      </c>
      <c r="D95" s="37" t="s">
        <v>231</v>
      </c>
      <c r="E95" s="11" t="s">
        <v>104</v>
      </c>
      <c r="F95" s="38" t="s">
        <v>325</v>
      </c>
      <c r="G95" s="39"/>
      <c r="H95" s="18"/>
      <c r="I95" s="40"/>
      <c r="J95" s="26" t="s">
        <v>408</v>
      </c>
    </row>
    <row r="96" customFormat="false" ht="30" hidden="false" customHeight="true" outlineLevel="0" collapsed="false">
      <c r="A96" s="19" t="s">
        <v>150</v>
      </c>
      <c r="B96" s="41" t="s">
        <v>362</v>
      </c>
      <c r="C96" s="41" t="s">
        <v>363</v>
      </c>
      <c r="D96" s="41" t="s">
        <v>231</v>
      </c>
      <c r="E96" s="20" t="s">
        <v>340</v>
      </c>
      <c r="F96" s="43" t="s">
        <v>409</v>
      </c>
      <c r="G96" s="39"/>
      <c r="H96" s="18"/>
      <c r="I96" s="40"/>
      <c r="J96" s="20" t="s">
        <v>410</v>
      </c>
    </row>
    <row r="97" customFormat="false" ht="30" hidden="false" customHeight="true" outlineLevel="0" collapsed="false">
      <c r="A97" s="10" t="s">
        <v>150</v>
      </c>
      <c r="B97" s="37" t="s">
        <v>362</v>
      </c>
      <c r="C97" s="37" t="s">
        <v>363</v>
      </c>
      <c r="D97" s="37" t="s">
        <v>231</v>
      </c>
      <c r="E97" s="11" t="s">
        <v>340</v>
      </c>
      <c r="F97" s="38" t="s">
        <v>411</v>
      </c>
      <c r="G97" s="39"/>
      <c r="H97" s="18"/>
      <c r="I97" s="40"/>
      <c r="J97" s="11" t="s">
        <v>412</v>
      </c>
    </row>
    <row r="98" customFormat="false" ht="30" hidden="false" customHeight="true" outlineLevel="0" collapsed="false">
      <c r="A98" s="19" t="s">
        <v>150</v>
      </c>
      <c r="B98" s="41" t="s">
        <v>362</v>
      </c>
      <c r="C98" s="41" t="s">
        <v>363</v>
      </c>
      <c r="D98" s="41" t="s">
        <v>231</v>
      </c>
      <c r="E98" s="20" t="s">
        <v>340</v>
      </c>
      <c r="F98" s="42" t="s">
        <v>413</v>
      </c>
      <c r="G98" s="39"/>
      <c r="H98" s="18"/>
      <c r="I98" s="40"/>
      <c r="J98" s="20" t="s">
        <v>414</v>
      </c>
    </row>
    <row r="99" customFormat="false" ht="30" hidden="false" customHeight="true" outlineLevel="0" collapsed="false">
      <c r="A99" s="10" t="s">
        <v>150</v>
      </c>
      <c r="B99" s="37" t="s">
        <v>362</v>
      </c>
      <c r="C99" s="37" t="s">
        <v>363</v>
      </c>
      <c r="D99" s="37" t="s">
        <v>231</v>
      </c>
      <c r="E99" s="11" t="s">
        <v>415</v>
      </c>
      <c r="F99" s="38" t="s">
        <v>416</v>
      </c>
      <c r="G99" s="39"/>
      <c r="H99" s="18"/>
      <c r="I99" s="40"/>
      <c r="J99" s="11" t="s">
        <v>417</v>
      </c>
    </row>
    <row r="100" customFormat="false" ht="30" hidden="false" customHeight="true" outlineLevel="0" collapsed="false">
      <c r="A100" s="19" t="s">
        <v>150</v>
      </c>
      <c r="B100" s="41" t="s">
        <v>362</v>
      </c>
      <c r="C100" s="41" t="s">
        <v>363</v>
      </c>
      <c r="D100" s="41" t="s">
        <v>231</v>
      </c>
      <c r="E100" s="20" t="s">
        <v>415</v>
      </c>
      <c r="F100" s="42" t="s">
        <v>418</v>
      </c>
      <c r="G100" s="39"/>
      <c r="H100" s="18"/>
      <c r="I100" s="40"/>
      <c r="J100" s="20" t="s">
        <v>419</v>
      </c>
    </row>
    <row r="101" customFormat="false" ht="30" hidden="false" customHeight="true" outlineLevel="0" collapsed="false">
      <c r="A101" s="10" t="s">
        <v>150</v>
      </c>
      <c r="B101" s="37" t="s">
        <v>362</v>
      </c>
      <c r="C101" s="37" t="s">
        <v>363</v>
      </c>
      <c r="D101" s="37" t="s">
        <v>231</v>
      </c>
      <c r="E101" s="11" t="s">
        <v>415</v>
      </c>
      <c r="F101" s="38" t="s">
        <v>420</v>
      </c>
      <c r="G101" s="39"/>
      <c r="H101" s="18"/>
      <c r="I101" s="40"/>
      <c r="J101" s="11" t="s">
        <v>421</v>
      </c>
    </row>
    <row r="102" customFormat="false" ht="30" hidden="false" customHeight="true" outlineLevel="0" collapsed="false">
      <c r="A102" s="19" t="s">
        <v>156</v>
      </c>
      <c r="B102" s="41" t="s">
        <v>362</v>
      </c>
      <c r="C102" s="41" t="s">
        <v>363</v>
      </c>
      <c r="D102" s="41" t="s">
        <v>231</v>
      </c>
      <c r="E102" s="20" t="s">
        <v>104</v>
      </c>
      <c r="F102" s="42" t="s">
        <v>422</v>
      </c>
      <c r="G102" s="39"/>
      <c r="H102" s="18"/>
      <c r="I102" s="40"/>
      <c r="J102" s="20" t="s">
        <v>423</v>
      </c>
    </row>
    <row r="103" customFormat="false" ht="30" hidden="false" customHeight="true" outlineLevel="0" collapsed="false">
      <c r="A103" s="10" t="s">
        <v>156</v>
      </c>
      <c r="B103" s="37" t="s">
        <v>362</v>
      </c>
      <c r="C103" s="37" t="s">
        <v>363</v>
      </c>
      <c r="D103" s="37" t="s">
        <v>231</v>
      </c>
      <c r="E103" s="11" t="s">
        <v>424</v>
      </c>
      <c r="F103" s="38" t="s">
        <v>425</v>
      </c>
      <c r="G103" s="39"/>
      <c r="H103" s="18"/>
      <c r="I103" s="40"/>
      <c r="J103" s="11" t="s">
        <v>426</v>
      </c>
    </row>
    <row r="104" customFormat="false" ht="30" hidden="false" customHeight="true" outlineLevel="0" collapsed="false">
      <c r="A104" s="19" t="s">
        <v>156</v>
      </c>
      <c r="B104" s="41" t="s">
        <v>362</v>
      </c>
      <c r="C104" s="41" t="s">
        <v>363</v>
      </c>
      <c r="D104" s="41" t="s">
        <v>231</v>
      </c>
      <c r="E104" s="20" t="s">
        <v>424</v>
      </c>
      <c r="F104" s="42" t="s">
        <v>427</v>
      </c>
      <c r="G104" s="39"/>
      <c r="H104" s="18"/>
      <c r="I104" s="40"/>
      <c r="J104" s="20" t="s">
        <v>428</v>
      </c>
    </row>
    <row r="105" customFormat="false" ht="30" hidden="false" customHeight="true" outlineLevel="0" collapsed="false">
      <c r="A105" s="10" t="s">
        <v>156</v>
      </c>
      <c r="B105" s="37" t="s">
        <v>362</v>
      </c>
      <c r="C105" s="37" t="s">
        <v>363</v>
      </c>
      <c r="D105" s="37" t="s">
        <v>231</v>
      </c>
      <c r="E105" s="11" t="s">
        <v>424</v>
      </c>
      <c r="F105" s="38" t="s">
        <v>429</v>
      </c>
      <c r="G105" s="39"/>
      <c r="H105" s="18"/>
      <c r="I105" s="40"/>
      <c r="J105" s="11" t="s">
        <v>430</v>
      </c>
    </row>
    <row r="106" customFormat="false" ht="30" hidden="false" customHeight="true" outlineLevel="0" collapsed="false">
      <c r="A106" s="19" t="s">
        <v>156</v>
      </c>
      <c r="B106" s="41" t="s">
        <v>362</v>
      </c>
      <c r="C106" s="41" t="s">
        <v>363</v>
      </c>
      <c r="D106" s="41" t="s">
        <v>231</v>
      </c>
      <c r="E106" s="20" t="s">
        <v>157</v>
      </c>
      <c r="F106" s="42" t="s">
        <v>431</v>
      </c>
      <c r="G106" s="39"/>
      <c r="H106" s="18"/>
      <c r="I106" s="40"/>
      <c r="J106" s="20" t="s">
        <v>432</v>
      </c>
    </row>
    <row r="107" customFormat="false" ht="30" hidden="false" customHeight="true" outlineLevel="0" collapsed="false">
      <c r="A107" s="10" t="s">
        <v>156</v>
      </c>
      <c r="B107" s="37" t="s">
        <v>362</v>
      </c>
      <c r="C107" s="37" t="s">
        <v>363</v>
      </c>
      <c r="D107" s="37" t="s">
        <v>231</v>
      </c>
      <c r="E107" s="11" t="s">
        <v>424</v>
      </c>
      <c r="F107" s="38" t="s">
        <v>433</v>
      </c>
      <c r="G107" s="39"/>
      <c r="H107" s="18"/>
      <c r="I107" s="40"/>
      <c r="J107" s="11" t="s">
        <v>434</v>
      </c>
    </row>
    <row r="108" customFormat="false" ht="30" hidden="false" customHeight="true" outlineLevel="0" collapsed="false">
      <c r="A108" s="19" t="s">
        <v>163</v>
      </c>
      <c r="B108" s="41" t="s">
        <v>362</v>
      </c>
      <c r="C108" s="41" t="s">
        <v>363</v>
      </c>
      <c r="D108" s="41" t="s">
        <v>231</v>
      </c>
      <c r="E108" s="20" t="s">
        <v>435</v>
      </c>
      <c r="F108" s="42" t="s">
        <v>436</v>
      </c>
      <c r="G108" s="39"/>
      <c r="H108" s="18"/>
      <c r="I108" s="40"/>
      <c r="J108" s="20" t="s">
        <v>437</v>
      </c>
    </row>
    <row r="109" customFormat="false" ht="30" hidden="false" customHeight="true" outlineLevel="0" collapsed="false">
      <c r="A109" s="10" t="s">
        <v>163</v>
      </c>
      <c r="B109" s="37" t="s">
        <v>362</v>
      </c>
      <c r="C109" s="37" t="s">
        <v>363</v>
      </c>
      <c r="D109" s="37" t="s">
        <v>231</v>
      </c>
      <c r="E109" s="11" t="s">
        <v>435</v>
      </c>
      <c r="F109" s="38" t="s">
        <v>438</v>
      </c>
      <c r="G109" s="39"/>
      <c r="H109" s="18"/>
      <c r="I109" s="40"/>
      <c r="J109" s="11" t="s">
        <v>437</v>
      </c>
    </row>
    <row r="110" customFormat="false" ht="30" hidden="false" customHeight="true" outlineLevel="0" collapsed="false">
      <c r="A110" s="19" t="s">
        <v>163</v>
      </c>
      <c r="B110" s="41" t="s">
        <v>362</v>
      </c>
      <c r="C110" s="41" t="s">
        <v>363</v>
      </c>
      <c r="D110" s="41" t="s">
        <v>231</v>
      </c>
      <c r="E110" s="20" t="s">
        <v>439</v>
      </c>
      <c r="F110" s="42" t="s">
        <v>440</v>
      </c>
      <c r="G110" s="39"/>
      <c r="H110" s="18"/>
      <c r="I110" s="40"/>
      <c r="J110" s="20" t="s">
        <v>441</v>
      </c>
    </row>
    <row r="111" customFormat="false" ht="30" hidden="false" customHeight="true" outlineLevel="0" collapsed="false">
      <c r="A111" s="10" t="s">
        <v>163</v>
      </c>
      <c r="B111" s="37" t="s">
        <v>362</v>
      </c>
      <c r="C111" s="37" t="s">
        <v>363</v>
      </c>
      <c r="D111" s="37" t="s">
        <v>231</v>
      </c>
      <c r="E111" s="11" t="s">
        <v>319</v>
      </c>
      <c r="F111" s="38" t="s">
        <v>442</v>
      </c>
      <c r="G111" s="39"/>
      <c r="H111" s="18"/>
      <c r="I111" s="40"/>
      <c r="J111" s="11" t="s">
        <v>443</v>
      </c>
    </row>
    <row r="112" customFormat="false" ht="30" hidden="false" customHeight="true" outlineLevel="0" collapsed="false">
      <c r="A112" s="19" t="s">
        <v>163</v>
      </c>
      <c r="B112" s="41" t="s">
        <v>362</v>
      </c>
      <c r="C112" s="41" t="s">
        <v>363</v>
      </c>
      <c r="D112" s="41" t="s">
        <v>231</v>
      </c>
      <c r="E112" s="20" t="s">
        <v>444</v>
      </c>
      <c r="F112" s="42" t="s">
        <v>445</v>
      </c>
      <c r="G112" s="39"/>
      <c r="H112" s="18"/>
      <c r="I112" s="40"/>
      <c r="J112" s="20" t="s">
        <v>446</v>
      </c>
    </row>
    <row r="113" customFormat="false" ht="30" hidden="false" customHeight="true" outlineLevel="0" collapsed="false">
      <c r="A113" s="10" t="s">
        <v>163</v>
      </c>
      <c r="B113" s="37" t="s">
        <v>362</v>
      </c>
      <c r="C113" s="37" t="s">
        <v>363</v>
      </c>
      <c r="D113" s="37" t="s">
        <v>231</v>
      </c>
      <c r="E113" s="11" t="s">
        <v>447</v>
      </c>
      <c r="F113" s="38" t="s">
        <v>448</v>
      </c>
      <c r="G113" s="39"/>
      <c r="H113" s="18"/>
      <c r="I113" s="40"/>
      <c r="J113" s="11" t="s">
        <v>449</v>
      </c>
    </row>
    <row r="114" customFormat="false" ht="30" hidden="false" customHeight="true" outlineLevel="0" collapsed="false">
      <c r="A114" s="19" t="s">
        <v>179</v>
      </c>
      <c r="B114" s="41" t="s">
        <v>229</v>
      </c>
      <c r="C114" s="41" t="s">
        <v>230</v>
      </c>
      <c r="D114" s="45" t="s">
        <v>450</v>
      </c>
      <c r="E114" s="20" t="s">
        <v>451</v>
      </c>
      <c r="F114" s="42" t="s">
        <v>452</v>
      </c>
      <c r="G114" s="39"/>
      <c r="H114" s="18"/>
      <c r="I114" s="40"/>
      <c r="J114" s="20" t="s">
        <v>453</v>
      </c>
    </row>
    <row r="115" customFormat="false" ht="30" hidden="false" customHeight="true" outlineLevel="0" collapsed="false">
      <c r="A115" s="10" t="s">
        <v>179</v>
      </c>
      <c r="B115" s="37" t="s">
        <v>229</v>
      </c>
      <c r="C115" s="37" t="s">
        <v>230</v>
      </c>
      <c r="D115" s="45" t="s">
        <v>450</v>
      </c>
      <c r="E115" s="11" t="s">
        <v>451</v>
      </c>
      <c r="F115" s="38" t="s">
        <v>454</v>
      </c>
      <c r="G115" s="39"/>
      <c r="H115" s="18"/>
      <c r="I115" s="40"/>
      <c r="J115" s="11" t="s">
        <v>455</v>
      </c>
    </row>
    <row r="116" customFormat="false" ht="30" hidden="false" customHeight="true" outlineLevel="0" collapsed="false">
      <c r="A116" s="19" t="s">
        <v>179</v>
      </c>
      <c r="B116" s="41" t="s">
        <v>229</v>
      </c>
      <c r="C116" s="41" t="s">
        <v>230</v>
      </c>
      <c r="D116" s="45" t="s">
        <v>450</v>
      </c>
      <c r="E116" s="20" t="s">
        <v>69</v>
      </c>
      <c r="F116" s="42" t="s">
        <v>456</v>
      </c>
      <c r="G116" s="39"/>
      <c r="H116" s="18"/>
      <c r="I116" s="40"/>
      <c r="J116" s="27" t="s">
        <v>457</v>
      </c>
    </row>
    <row r="117" customFormat="false" ht="30" hidden="false" customHeight="true" outlineLevel="0" collapsed="false">
      <c r="A117" s="10" t="s">
        <v>179</v>
      </c>
      <c r="B117" s="37" t="s">
        <v>229</v>
      </c>
      <c r="C117" s="37" t="s">
        <v>230</v>
      </c>
      <c r="D117" s="45" t="s">
        <v>450</v>
      </c>
      <c r="E117" s="11" t="s">
        <v>294</v>
      </c>
      <c r="F117" s="44" t="s">
        <v>458</v>
      </c>
      <c r="G117" s="39"/>
      <c r="H117" s="18"/>
      <c r="I117" s="40"/>
      <c r="J117" s="11" t="s">
        <v>459</v>
      </c>
    </row>
    <row r="118" customFormat="false" ht="30" hidden="false" customHeight="true" outlineLevel="0" collapsed="false">
      <c r="A118" s="19" t="s">
        <v>179</v>
      </c>
      <c r="B118" s="41" t="s">
        <v>229</v>
      </c>
      <c r="C118" s="41" t="s">
        <v>230</v>
      </c>
      <c r="D118" s="45" t="s">
        <v>450</v>
      </c>
      <c r="E118" s="20" t="s">
        <v>294</v>
      </c>
      <c r="F118" s="42" t="s">
        <v>460</v>
      </c>
      <c r="G118" s="39"/>
      <c r="H118" s="18"/>
      <c r="I118" s="40"/>
      <c r="J118" s="27" t="s">
        <v>461</v>
      </c>
    </row>
    <row r="119" customFormat="false" ht="30" hidden="false" customHeight="true" outlineLevel="0" collapsed="false">
      <c r="A119" s="10" t="s">
        <v>179</v>
      </c>
      <c r="B119" s="37" t="s">
        <v>229</v>
      </c>
      <c r="C119" s="37" t="s">
        <v>230</v>
      </c>
      <c r="D119" s="45" t="s">
        <v>450</v>
      </c>
      <c r="E119" s="11" t="s">
        <v>69</v>
      </c>
      <c r="F119" s="38" t="s">
        <v>297</v>
      </c>
      <c r="G119" s="39"/>
      <c r="H119" s="18"/>
      <c r="I119" s="40"/>
      <c r="J119" s="11" t="s">
        <v>462</v>
      </c>
    </row>
    <row r="120" customFormat="false" ht="30" hidden="false" customHeight="true" outlineLevel="0" collapsed="false">
      <c r="A120" s="19" t="s">
        <v>179</v>
      </c>
      <c r="B120" s="41" t="s">
        <v>229</v>
      </c>
      <c r="C120" s="41" t="s">
        <v>230</v>
      </c>
      <c r="D120" s="45" t="s">
        <v>450</v>
      </c>
      <c r="E120" s="20" t="s">
        <v>319</v>
      </c>
      <c r="F120" s="42" t="s">
        <v>463</v>
      </c>
      <c r="G120" s="39"/>
      <c r="H120" s="18"/>
      <c r="I120" s="40"/>
      <c r="J120" s="20" t="s">
        <v>464</v>
      </c>
    </row>
    <row r="121" customFormat="false" ht="30" hidden="false" customHeight="true" outlineLevel="0" collapsed="false">
      <c r="A121" s="10" t="s">
        <v>186</v>
      </c>
      <c r="B121" s="37" t="s">
        <v>229</v>
      </c>
      <c r="C121" s="37" t="s">
        <v>230</v>
      </c>
      <c r="D121" s="45" t="s">
        <v>450</v>
      </c>
      <c r="E121" s="26" t="s">
        <v>465</v>
      </c>
      <c r="F121" s="38" t="s">
        <v>466</v>
      </c>
      <c r="G121" s="39"/>
      <c r="H121" s="18"/>
      <c r="I121" s="40"/>
      <c r="J121" s="11" t="s">
        <v>467</v>
      </c>
    </row>
    <row r="122" customFormat="false" ht="30" hidden="false" customHeight="true" outlineLevel="0" collapsed="false">
      <c r="A122" s="19" t="s">
        <v>186</v>
      </c>
      <c r="B122" s="41" t="s">
        <v>229</v>
      </c>
      <c r="C122" s="41" t="s">
        <v>230</v>
      </c>
      <c r="D122" s="45" t="s">
        <v>450</v>
      </c>
      <c r="E122" s="27" t="s">
        <v>465</v>
      </c>
      <c r="F122" s="42" t="s">
        <v>468</v>
      </c>
      <c r="G122" s="39"/>
      <c r="H122" s="18"/>
      <c r="I122" s="40"/>
      <c r="J122" s="20" t="s">
        <v>469</v>
      </c>
    </row>
    <row r="123" customFormat="false" ht="30" hidden="false" customHeight="true" outlineLevel="0" collapsed="false">
      <c r="A123" s="10" t="s">
        <v>186</v>
      </c>
      <c r="B123" s="37" t="s">
        <v>229</v>
      </c>
      <c r="C123" s="37" t="s">
        <v>230</v>
      </c>
      <c r="D123" s="45" t="s">
        <v>450</v>
      </c>
      <c r="E123" s="11" t="s">
        <v>287</v>
      </c>
      <c r="F123" s="38" t="s">
        <v>470</v>
      </c>
      <c r="G123" s="39"/>
      <c r="H123" s="18"/>
      <c r="I123" s="40"/>
      <c r="J123" s="11" t="s">
        <v>471</v>
      </c>
    </row>
    <row r="124" customFormat="false" ht="30" hidden="false" customHeight="true" outlineLevel="0" collapsed="false">
      <c r="A124" s="19" t="s">
        <v>186</v>
      </c>
      <c r="B124" s="41" t="s">
        <v>229</v>
      </c>
      <c r="C124" s="41" t="s">
        <v>230</v>
      </c>
      <c r="D124" s="45" t="s">
        <v>450</v>
      </c>
      <c r="E124" s="20" t="s">
        <v>287</v>
      </c>
      <c r="F124" s="42" t="s">
        <v>472</v>
      </c>
      <c r="G124" s="39"/>
      <c r="H124" s="18"/>
      <c r="I124" s="40"/>
      <c r="J124" s="20" t="s">
        <v>473</v>
      </c>
    </row>
    <row r="125" customFormat="false" ht="30" hidden="false" customHeight="true" outlineLevel="0" collapsed="false">
      <c r="A125" s="10" t="s">
        <v>186</v>
      </c>
      <c r="B125" s="37" t="s">
        <v>229</v>
      </c>
      <c r="C125" s="37" t="s">
        <v>230</v>
      </c>
      <c r="D125" s="45" t="s">
        <v>450</v>
      </c>
      <c r="E125" s="11" t="s">
        <v>287</v>
      </c>
      <c r="F125" s="38" t="s">
        <v>474</v>
      </c>
      <c r="G125" s="39"/>
      <c r="H125" s="18"/>
      <c r="I125" s="40"/>
      <c r="J125" s="11" t="s">
        <v>475</v>
      </c>
    </row>
    <row r="126" customFormat="false" ht="30" hidden="false" customHeight="true" outlineLevel="0" collapsed="false">
      <c r="A126" s="19" t="s">
        <v>186</v>
      </c>
      <c r="B126" s="41" t="s">
        <v>229</v>
      </c>
      <c r="C126" s="41" t="s">
        <v>230</v>
      </c>
      <c r="D126" s="45" t="s">
        <v>450</v>
      </c>
      <c r="E126" s="20" t="s">
        <v>287</v>
      </c>
      <c r="F126" s="42" t="s">
        <v>476</v>
      </c>
      <c r="G126" s="39"/>
      <c r="H126" s="18"/>
      <c r="I126" s="40"/>
      <c r="J126" s="20" t="s">
        <v>477</v>
      </c>
    </row>
    <row r="127" customFormat="false" ht="30" hidden="false" customHeight="true" outlineLevel="0" collapsed="false">
      <c r="A127" s="10" t="s">
        <v>186</v>
      </c>
      <c r="B127" s="37" t="s">
        <v>229</v>
      </c>
      <c r="C127" s="37" t="s">
        <v>230</v>
      </c>
      <c r="D127" s="45" t="s">
        <v>450</v>
      </c>
      <c r="E127" s="11" t="s">
        <v>319</v>
      </c>
      <c r="F127" s="38" t="s">
        <v>463</v>
      </c>
      <c r="G127" s="39"/>
      <c r="H127" s="18"/>
      <c r="I127" s="40"/>
      <c r="J127" s="11" t="s">
        <v>478</v>
      </c>
    </row>
    <row r="128" customFormat="false" ht="30" hidden="false" customHeight="true" outlineLevel="0" collapsed="false">
      <c r="A128" s="19" t="s">
        <v>193</v>
      </c>
      <c r="B128" s="41" t="s">
        <v>229</v>
      </c>
      <c r="C128" s="41" t="s">
        <v>230</v>
      </c>
      <c r="D128" s="45" t="s">
        <v>450</v>
      </c>
      <c r="E128" s="20" t="s">
        <v>55</v>
      </c>
      <c r="F128" s="42" t="s">
        <v>313</v>
      </c>
      <c r="G128" s="39"/>
      <c r="H128" s="18"/>
      <c r="I128" s="40"/>
      <c r="J128" s="20" t="s">
        <v>479</v>
      </c>
    </row>
    <row r="129" customFormat="false" ht="30" hidden="false" customHeight="true" outlineLevel="0" collapsed="false">
      <c r="A129" s="10" t="s">
        <v>193</v>
      </c>
      <c r="B129" s="37" t="s">
        <v>229</v>
      </c>
      <c r="C129" s="37" t="s">
        <v>230</v>
      </c>
      <c r="D129" s="45" t="s">
        <v>450</v>
      </c>
      <c r="E129" s="11" t="s">
        <v>138</v>
      </c>
      <c r="F129" s="38" t="s">
        <v>315</v>
      </c>
      <c r="G129" s="39"/>
      <c r="H129" s="18"/>
      <c r="I129" s="40"/>
      <c r="J129" s="11" t="s">
        <v>480</v>
      </c>
    </row>
    <row r="130" customFormat="false" ht="30" hidden="false" customHeight="true" outlineLevel="0" collapsed="false">
      <c r="A130" s="19" t="s">
        <v>193</v>
      </c>
      <c r="B130" s="41" t="s">
        <v>229</v>
      </c>
      <c r="C130" s="41" t="s">
        <v>230</v>
      </c>
      <c r="D130" s="45" t="s">
        <v>450</v>
      </c>
      <c r="E130" s="20" t="s">
        <v>138</v>
      </c>
      <c r="F130" s="42" t="s">
        <v>481</v>
      </c>
      <c r="G130" s="39"/>
      <c r="H130" s="18"/>
      <c r="I130" s="40"/>
      <c r="J130" s="20" t="s">
        <v>482</v>
      </c>
    </row>
    <row r="131" customFormat="false" ht="30" hidden="false" customHeight="true" outlineLevel="0" collapsed="false">
      <c r="A131" s="10" t="s">
        <v>193</v>
      </c>
      <c r="B131" s="37" t="s">
        <v>229</v>
      </c>
      <c r="C131" s="37" t="s">
        <v>230</v>
      </c>
      <c r="D131" s="45" t="s">
        <v>450</v>
      </c>
      <c r="E131" s="11" t="s">
        <v>97</v>
      </c>
      <c r="F131" s="38" t="s">
        <v>483</v>
      </c>
      <c r="G131" s="39"/>
      <c r="H131" s="18"/>
      <c r="I131" s="40"/>
      <c r="J131" s="26" t="s">
        <v>484</v>
      </c>
    </row>
    <row r="132" customFormat="false" ht="30" hidden="false" customHeight="true" outlineLevel="0" collapsed="false">
      <c r="A132" s="19" t="s">
        <v>193</v>
      </c>
      <c r="B132" s="41" t="s">
        <v>229</v>
      </c>
      <c r="C132" s="41" t="s">
        <v>230</v>
      </c>
      <c r="D132" s="45" t="s">
        <v>450</v>
      </c>
      <c r="E132" s="20" t="s">
        <v>104</v>
      </c>
      <c r="F132" s="42" t="s">
        <v>485</v>
      </c>
      <c r="G132" s="39"/>
      <c r="H132" s="18"/>
      <c r="I132" s="40"/>
      <c r="J132" s="20" t="s">
        <v>486</v>
      </c>
    </row>
    <row r="133" customFormat="false" ht="30" hidden="false" customHeight="true" outlineLevel="0" collapsed="false">
      <c r="A133" s="10" t="s">
        <v>193</v>
      </c>
      <c r="B133" s="37" t="s">
        <v>229</v>
      </c>
      <c r="C133" s="37" t="s">
        <v>230</v>
      </c>
      <c r="D133" s="45" t="s">
        <v>450</v>
      </c>
      <c r="E133" s="11" t="s">
        <v>104</v>
      </c>
      <c r="F133" s="38" t="s">
        <v>487</v>
      </c>
      <c r="G133" s="39"/>
      <c r="H133" s="18"/>
      <c r="I133" s="40"/>
      <c r="J133" s="11" t="s">
        <v>488</v>
      </c>
    </row>
    <row r="134" customFormat="false" ht="30" hidden="false" customHeight="true" outlineLevel="0" collapsed="false">
      <c r="A134" s="19" t="s">
        <v>193</v>
      </c>
      <c r="B134" s="41" t="s">
        <v>229</v>
      </c>
      <c r="C134" s="41" t="s">
        <v>230</v>
      </c>
      <c r="D134" s="45" t="s">
        <v>450</v>
      </c>
      <c r="E134" s="27" t="s">
        <v>465</v>
      </c>
      <c r="F134" s="42" t="s">
        <v>489</v>
      </c>
      <c r="G134" s="39"/>
      <c r="H134" s="18"/>
      <c r="I134" s="40"/>
      <c r="J134" s="20" t="s">
        <v>490</v>
      </c>
    </row>
    <row r="135" customFormat="false" ht="30" hidden="false" customHeight="true" outlineLevel="0" collapsed="false">
      <c r="A135" s="10" t="s">
        <v>193</v>
      </c>
      <c r="B135" s="37" t="s">
        <v>229</v>
      </c>
      <c r="C135" s="37" t="s">
        <v>230</v>
      </c>
      <c r="D135" s="45" t="s">
        <v>450</v>
      </c>
      <c r="E135" s="11" t="s">
        <v>319</v>
      </c>
      <c r="F135" s="38" t="s">
        <v>491</v>
      </c>
      <c r="G135" s="39"/>
      <c r="H135" s="18"/>
      <c r="I135" s="40"/>
      <c r="J135" s="11" t="s">
        <v>492</v>
      </c>
    </row>
    <row r="136" customFormat="false" ht="30" hidden="false" customHeight="true" outlineLevel="0" collapsed="false">
      <c r="A136" s="19" t="s">
        <v>201</v>
      </c>
      <c r="B136" s="41" t="s">
        <v>362</v>
      </c>
      <c r="C136" s="41" t="s">
        <v>363</v>
      </c>
      <c r="D136" s="45" t="s">
        <v>450</v>
      </c>
      <c r="E136" s="20" t="s">
        <v>451</v>
      </c>
      <c r="F136" s="42" t="s">
        <v>452</v>
      </c>
      <c r="G136" s="39"/>
      <c r="H136" s="18"/>
      <c r="I136" s="40"/>
      <c r="J136" s="20" t="s">
        <v>453</v>
      </c>
    </row>
    <row r="137" customFormat="false" ht="30" hidden="false" customHeight="true" outlineLevel="0" collapsed="false">
      <c r="A137" s="10" t="s">
        <v>201</v>
      </c>
      <c r="B137" s="37" t="s">
        <v>362</v>
      </c>
      <c r="C137" s="37" t="s">
        <v>363</v>
      </c>
      <c r="D137" s="45" t="s">
        <v>450</v>
      </c>
      <c r="E137" s="11" t="s">
        <v>451</v>
      </c>
      <c r="F137" s="38" t="s">
        <v>454</v>
      </c>
      <c r="G137" s="39"/>
      <c r="H137" s="18"/>
      <c r="I137" s="40"/>
      <c r="J137" s="11" t="s">
        <v>455</v>
      </c>
    </row>
    <row r="138" customFormat="false" ht="30" hidden="false" customHeight="true" outlineLevel="0" collapsed="false">
      <c r="A138" s="19" t="s">
        <v>201</v>
      </c>
      <c r="B138" s="41" t="s">
        <v>362</v>
      </c>
      <c r="C138" s="41" t="s">
        <v>363</v>
      </c>
      <c r="D138" s="45" t="s">
        <v>450</v>
      </c>
      <c r="E138" s="20" t="s">
        <v>69</v>
      </c>
      <c r="F138" s="42" t="s">
        <v>456</v>
      </c>
      <c r="G138" s="39"/>
      <c r="H138" s="18"/>
      <c r="I138" s="40"/>
      <c r="J138" s="27" t="s">
        <v>457</v>
      </c>
    </row>
    <row r="139" customFormat="false" ht="30" hidden="false" customHeight="true" outlineLevel="0" collapsed="false">
      <c r="A139" s="10" t="s">
        <v>201</v>
      </c>
      <c r="B139" s="37" t="s">
        <v>362</v>
      </c>
      <c r="C139" s="37" t="s">
        <v>363</v>
      </c>
      <c r="D139" s="45" t="s">
        <v>450</v>
      </c>
      <c r="E139" s="11" t="s">
        <v>294</v>
      </c>
      <c r="F139" s="44" t="s">
        <v>458</v>
      </c>
      <c r="G139" s="39"/>
      <c r="H139" s="18"/>
      <c r="I139" s="40"/>
      <c r="J139" s="11" t="s">
        <v>459</v>
      </c>
    </row>
    <row r="140" customFormat="false" ht="30" hidden="false" customHeight="true" outlineLevel="0" collapsed="false">
      <c r="A140" s="19" t="s">
        <v>201</v>
      </c>
      <c r="B140" s="41" t="s">
        <v>362</v>
      </c>
      <c r="C140" s="41" t="s">
        <v>363</v>
      </c>
      <c r="D140" s="45" t="s">
        <v>450</v>
      </c>
      <c r="E140" s="20" t="s">
        <v>294</v>
      </c>
      <c r="F140" s="42" t="s">
        <v>460</v>
      </c>
      <c r="G140" s="39"/>
      <c r="H140" s="18"/>
      <c r="I140" s="40"/>
      <c r="J140" s="27" t="s">
        <v>461</v>
      </c>
    </row>
    <row r="141" customFormat="false" ht="30" hidden="false" customHeight="true" outlineLevel="0" collapsed="false">
      <c r="A141" s="10" t="s">
        <v>201</v>
      </c>
      <c r="B141" s="37" t="s">
        <v>362</v>
      </c>
      <c r="C141" s="37" t="s">
        <v>363</v>
      </c>
      <c r="D141" s="45" t="s">
        <v>450</v>
      </c>
      <c r="E141" s="11" t="s">
        <v>69</v>
      </c>
      <c r="F141" s="38" t="s">
        <v>297</v>
      </c>
      <c r="G141" s="39"/>
      <c r="H141" s="18"/>
      <c r="I141" s="40"/>
      <c r="J141" s="11" t="s">
        <v>462</v>
      </c>
    </row>
    <row r="142" customFormat="false" ht="30" hidden="false" customHeight="true" outlineLevel="0" collapsed="false">
      <c r="A142" s="19" t="s">
        <v>201</v>
      </c>
      <c r="B142" s="41" t="s">
        <v>362</v>
      </c>
      <c r="C142" s="41" t="s">
        <v>363</v>
      </c>
      <c r="D142" s="45" t="s">
        <v>450</v>
      </c>
      <c r="E142" s="20" t="s">
        <v>319</v>
      </c>
      <c r="F142" s="42" t="s">
        <v>463</v>
      </c>
      <c r="G142" s="39"/>
      <c r="H142" s="18"/>
      <c r="I142" s="40"/>
      <c r="J142" s="20" t="s">
        <v>464</v>
      </c>
    </row>
    <row r="143" customFormat="false" ht="30" hidden="false" customHeight="true" outlineLevel="0" collapsed="false">
      <c r="A143" s="10" t="s">
        <v>205</v>
      </c>
      <c r="B143" s="37" t="s">
        <v>362</v>
      </c>
      <c r="C143" s="37" t="s">
        <v>363</v>
      </c>
      <c r="D143" s="45" t="s">
        <v>450</v>
      </c>
      <c r="E143" s="26" t="s">
        <v>465</v>
      </c>
      <c r="F143" s="38" t="s">
        <v>493</v>
      </c>
      <c r="G143" s="39"/>
      <c r="H143" s="18"/>
      <c r="I143" s="40"/>
      <c r="J143" s="11" t="s">
        <v>467</v>
      </c>
    </row>
    <row r="144" customFormat="false" ht="30" hidden="false" customHeight="true" outlineLevel="0" collapsed="false">
      <c r="A144" s="19" t="s">
        <v>205</v>
      </c>
      <c r="B144" s="41" t="s">
        <v>362</v>
      </c>
      <c r="C144" s="41" t="s">
        <v>363</v>
      </c>
      <c r="D144" s="45" t="s">
        <v>450</v>
      </c>
      <c r="E144" s="27" t="s">
        <v>465</v>
      </c>
      <c r="F144" s="42" t="s">
        <v>494</v>
      </c>
      <c r="G144" s="39"/>
      <c r="H144" s="18"/>
      <c r="I144" s="40"/>
      <c r="J144" s="20" t="s">
        <v>495</v>
      </c>
    </row>
    <row r="145" customFormat="false" ht="30" hidden="false" customHeight="true" outlineLevel="0" collapsed="false">
      <c r="A145" s="10" t="s">
        <v>205</v>
      </c>
      <c r="B145" s="37" t="s">
        <v>362</v>
      </c>
      <c r="C145" s="37" t="s">
        <v>363</v>
      </c>
      <c r="D145" s="45" t="s">
        <v>450</v>
      </c>
      <c r="E145" s="26" t="s">
        <v>465</v>
      </c>
      <c r="F145" s="38" t="s">
        <v>468</v>
      </c>
      <c r="G145" s="39"/>
      <c r="H145" s="18"/>
      <c r="I145" s="40"/>
      <c r="J145" s="11" t="s">
        <v>469</v>
      </c>
    </row>
    <row r="146" customFormat="false" ht="30" hidden="false" customHeight="true" outlineLevel="0" collapsed="false">
      <c r="A146" s="19" t="s">
        <v>205</v>
      </c>
      <c r="B146" s="41" t="s">
        <v>362</v>
      </c>
      <c r="C146" s="41" t="s">
        <v>363</v>
      </c>
      <c r="D146" s="45" t="s">
        <v>450</v>
      </c>
      <c r="E146" s="20" t="s">
        <v>287</v>
      </c>
      <c r="F146" s="42" t="s">
        <v>496</v>
      </c>
      <c r="G146" s="39"/>
      <c r="H146" s="18"/>
      <c r="I146" s="40"/>
      <c r="J146" s="20" t="s">
        <v>497</v>
      </c>
    </row>
    <row r="147" customFormat="false" ht="30" hidden="false" customHeight="true" outlineLevel="0" collapsed="false">
      <c r="A147" s="10" t="s">
        <v>205</v>
      </c>
      <c r="B147" s="37" t="s">
        <v>362</v>
      </c>
      <c r="C147" s="37" t="s">
        <v>363</v>
      </c>
      <c r="D147" s="45" t="s">
        <v>450</v>
      </c>
      <c r="E147" s="11" t="s">
        <v>287</v>
      </c>
      <c r="F147" s="38" t="s">
        <v>498</v>
      </c>
      <c r="G147" s="39"/>
      <c r="H147" s="18"/>
      <c r="I147" s="40"/>
      <c r="J147" s="11" t="s">
        <v>499</v>
      </c>
    </row>
    <row r="148" customFormat="false" ht="30" hidden="false" customHeight="true" outlineLevel="0" collapsed="false">
      <c r="A148" s="19" t="s">
        <v>205</v>
      </c>
      <c r="B148" s="41" t="s">
        <v>362</v>
      </c>
      <c r="C148" s="41" t="s">
        <v>363</v>
      </c>
      <c r="D148" s="45" t="s">
        <v>450</v>
      </c>
      <c r="E148" s="20" t="s">
        <v>287</v>
      </c>
      <c r="F148" s="42" t="s">
        <v>500</v>
      </c>
      <c r="G148" s="39"/>
      <c r="H148" s="18"/>
      <c r="I148" s="40"/>
      <c r="J148" s="20" t="s">
        <v>501</v>
      </c>
    </row>
    <row r="149" customFormat="false" ht="30" hidden="false" customHeight="true" outlineLevel="0" collapsed="false">
      <c r="A149" s="10" t="s">
        <v>205</v>
      </c>
      <c r="B149" s="37" t="s">
        <v>362</v>
      </c>
      <c r="C149" s="37" t="s">
        <v>363</v>
      </c>
      <c r="D149" s="45" t="s">
        <v>450</v>
      </c>
      <c r="E149" s="11" t="s">
        <v>287</v>
      </c>
      <c r="F149" s="38" t="s">
        <v>502</v>
      </c>
      <c r="G149" s="39"/>
      <c r="H149" s="18"/>
      <c r="I149" s="40"/>
      <c r="J149" s="11" t="s">
        <v>503</v>
      </c>
    </row>
    <row r="150" customFormat="false" ht="30" hidden="false" customHeight="true" outlineLevel="0" collapsed="false">
      <c r="A150" s="19" t="s">
        <v>212</v>
      </c>
      <c r="B150" s="41" t="s">
        <v>362</v>
      </c>
      <c r="C150" s="41" t="s">
        <v>363</v>
      </c>
      <c r="D150" s="45" t="s">
        <v>450</v>
      </c>
      <c r="E150" s="20" t="s">
        <v>55</v>
      </c>
      <c r="F150" s="42" t="s">
        <v>313</v>
      </c>
      <c r="G150" s="39"/>
      <c r="H150" s="18"/>
      <c r="I150" s="40"/>
      <c r="J150" s="20" t="s">
        <v>479</v>
      </c>
    </row>
    <row r="151" customFormat="false" ht="30" hidden="false" customHeight="true" outlineLevel="0" collapsed="false">
      <c r="A151" s="10" t="s">
        <v>212</v>
      </c>
      <c r="B151" s="37" t="s">
        <v>362</v>
      </c>
      <c r="C151" s="37" t="s">
        <v>363</v>
      </c>
      <c r="D151" s="45" t="s">
        <v>450</v>
      </c>
      <c r="E151" s="11" t="s">
        <v>138</v>
      </c>
      <c r="F151" s="38" t="s">
        <v>504</v>
      </c>
      <c r="G151" s="39"/>
      <c r="H151" s="18"/>
      <c r="I151" s="40"/>
      <c r="J151" s="11" t="s">
        <v>505</v>
      </c>
    </row>
    <row r="152" customFormat="false" ht="30" hidden="false" customHeight="true" outlineLevel="0" collapsed="false">
      <c r="A152" s="19" t="s">
        <v>212</v>
      </c>
      <c r="B152" s="41" t="s">
        <v>362</v>
      </c>
      <c r="C152" s="41" t="s">
        <v>363</v>
      </c>
      <c r="D152" s="45" t="s">
        <v>450</v>
      </c>
      <c r="E152" s="20" t="s">
        <v>138</v>
      </c>
      <c r="F152" s="42" t="s">
        <v>506</v>
      </c>
      <c r="G152" s="39"/>
      <c r="H152" s="18"/>
      <c r="I152" s="40"/>
      <c r="J152" s="20" t="s">
        <v>507</v>
      </c>
    </row>
    <row r="153" customFormat="false" ht="30" hidden="false" customHeight="true" outlineLevel="0" collapsed="false">
      <c r="A153" s="10" t="s">
        <v>212</v>
      </c>
      <c r="B153" s="37" t="s">
        <v>362</v>
      </c>
      <c r="C153" s="37" t="s">
        <v>363</v>
      </c>
      <c r="D153" s="45" t="s">
        <v>450</v>
      </c>
      <c r="E153" s="11" t="s">
        <v>97</v>
      </c>
      <c r="F153" s="38" t="s">
        <v>498</v>
      </c>
      <c r="G153" s="39"/>
      <c r="H153" s="18"/>
      <c r="I153" s="40"/>
      <c r="J153" s="11" t="s">
        <v>508</v>
      </c>
    </row>
    <row r="154" customFormat="false" ht="30" hidden="false" customHeight="true" outlineLevel="0" collapsed="false">
      <c r="A154" s="19" t="s">
        <v>212</v>
      </c>
      <c r="B154" s="41" t="s">
        <v>362</v>
      </c>
      <c r="C154" s="41" t="s">
        <v>363</v>
      </c>
      <c r="D154" s="45" t="s">
        <v>450</v>
      </c>
      <c r="E154" s="20" t="s">
        <v>104</v>
      </c>
      <c r="F154" s="42" t="s">
        <v>350</v>
      </c>
      <c r="G154" s="39"/>
      <c r="H154" s="18"/>
      <c r="I154" s="40"/>
      <c r="J154" s="20" t="s">
        <v>509</v>
      </c>
    </row>
    <row r="155" customFormat="false" ht="30" hidden="false" customHeight="true" outlineLevel="0" collapsed="false">
      <c r="A155" s="10" t="s">
        <v>212</v>
      </c>
      <c r="B155" s="37" t="s">
        <v>362</v>
      </c>
      <c r="C155" s="37" t="s">
        <v>363</v>
      </c>
      <c r="D155" s="45" t="s">
        <v>450</v>
      </c>
      <c r="E155" s="11" t="s">
        <v>104</v>
      </c>
      <c r="F155" s="38" t="s">
        <v>510</v>
      </c>
      <c r="G155" s="39"/>
      <c r="H155" s="18"/>
      <c r="I155" s="40"/>
      <c r="J155" s="11" t="s">
        <v>511</v>
      </c>
    </row>
    <row r="156" customFormat="false" ht="30" hidden="false" customHeight="true" outlineLevel="0" collapsed="false">
      <c r="A156" s="19" t="s">
        <v>212</v>
      </c>
      <c r="B156" s="41" t="s">
        <v>362</v>
      </c>
      <c r="C156" s="41" t="s">
        <v>363</v>
      </c>
      <c r="D156" s="45" t="s">
        <v>450</v>
      </c>
      <c r="E156" s="27" t="s">
        <v>465</v>
      </c>
      <c r="F156" s="42" t="s">
        <v>489</v>
      </c>
      <c r="G156" s="39"/>
      <c r="H156" s="18"/>
      <c r="I156" s="40"/>
      <c r="J156" s="20" t="s">
        <v>490</v>
      </c>
    </row>
    <row r="157" customFormat="false" ht="30" hidden="false" customHeight="true" outlineLevel="0" collapsed="false">
      <c r="A157" s="10" t="s">
        <v>212</v>
      </c>
      <c r="B157" s="37" t="s">
        <v>362</v>
      </c>
      <c r="C157" s="37" t="s">
        <v>363</v>
      </c>
      <c r="D157" s="45" t="s">
        <v>450</v>
      </c>
      <c r="E157" s="11" t="s">
        <v>319</v>
      </c>
      <c r="F157" s="38" t="s">
        <v>491</v>
      </c>
      <c r="G157" s="39"/>
      <c r="H157" s="18"/>
      <c r="I157" s="40"/>
      <c r="J157" s="11" t="s">
        <v>492</v>
      </c>
    </row>
  </sheetData>
  <autoFilter ref="A2:J157"/>
  <mergeCells count="1">
    <mergeCell ref="A1:J1"/>
  </mergeCells>
  <conditionalFormatting sqref="G3:G15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  <cfRule type="cellIs" priority="4" operator="equal" aboveAverage="0" equalAverage="0" bottom="0" percent="0" rank="0" text="" dxfId="3">
      <formula>"보류"</formula>
    </cfRule>
  </conditionalFormatting>
  <conditionalFormatting sqref="A3:J157">
    <cfRule type="expression" priority="5" aboveAverage="0" equalAverage="0" bottom="0" percent="0" rank="0" text="" dxfId="12">
      <formula>AND($G3="FAIL",$I3="")</formula>
    </cfRule>
  </conditionalFormatting>
  <dataValidations count="1">
    <dataValidation allowBlank="true" error="PASS / FAIL / 보류 / 해당없음 중에서 고르세요." errorStyle="stop" errorTitle="판정 값 확인" operator="between" showDropDown="false" showErrorMessage="false" showInputMessage="false" sqref="G3:G157" type="list">
      <formula1>"PASS,FAIL,보류,해당없음"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  <col collapsed="false" customWidth="true" hidden="false" outlineLevel="0" max="4" min="4" style="0" width="18"/>
    <col collapsed="false" customWidth="true" hidden="false" outlineLevel="0" max="5" min="5" style="0" width="46"/>
    <col collapsed="false" customWidth="true" hidden="false" outlineLevel="0" max="6" min="6" style="0" width="52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24" hidden="false" customHeight="true" outlineLevel="0" collapsed="false">
      <c r="A1" s="36" t="s">
        <v>512</v>
      </c>
      <c r="B1" s="36"/>
      <c r="C1" s="36"/>
      <c r="D1" s="36"/>
      <c r="E1" s="36"/>
      <c r="F1" s="36"/>
      <c r="G1" s="36"/>
      <c r="H1" s="36"/>
      <c r="I1" s="36"/>
      <c r="J1" s="36"/>
    </row>
    <row r="2" customFormat="false" ht="30" hidden="false" customHeight="true" outlineLevel="0" collapsed="false">
      <c r="A2" s="8" t="s">
        <v>227</v>
      </c>
      <c r="B2" s="8" t="s">
        <v>513</v>
      </c>
      <c r="C2" s="8" t="s">
        <v>26</v>
      </c>
      <c r="D2" s="8" t="s">
        <v>514</v>
      </c>
      <c r="E2" s="8" t="s">
        <v>515</v>
      </c>
      <c r="F2" s="8" t="s">
        <v>516</v>
      </c>
      <c r="G2" s="8" t="s">
        <v>517</v>
      </c>
      <c r="H2" s="8" t="s">
        <v>518</v>
      </c>
      <c r="I2" s="8" t="s">
        <v>519</v>
      </c>
      <c r="J2" s="8" t="s">
        <v>520</v>
      </c>
    </row>
    <row r="3" customFormat="false" ht="61.5" hidden="false" customHeight="true" outlineLevel="0" collapsed="false">
      <c r="A3" s="46" t="s">
        <v>521</v>
      </c>
      <c r="B3" s="47" t="s">
        <v>229</v>
      </c>
      <c r="C3" s="46" t="s">
        <v>61</v>
      </c>
      <c r="D3" s="48" t="s">
        <v>62</v>
      </c>
      <c r="E3" s="49" t="s">
        <v>522</v>
      </c>
      <c r="F3" s="48" t="s">
        <v>523</v>
      </c>
      <c r="G3" s="47" t="s">
        <v>524</v>
      </c>
      <c r="H3" s="46" t="s">
        <v>525</v>
      </c>
      <c r="I3" s="47" t="s">
        <v>526</v>
      </c>
      <c r="J3" s="49"/>
    </row>
    <row r="4" customFormat="false" ht="42" hidden="false" customHeight="true" outlineLevel="0" collapsed="false">
      <c r="A4" s="40"/>
      <c r="B4" s="40"/>
      <c r="C4" s="40"/>
      <c r="D4" s="18"/>
      <c r="E4" s="18"/>
      <c r="F4" s="18"/>
      <c r="G4" s="40"/>
      <c r="H4" s="40"/>
      <c r="I4" s="40"/>
      <c r="J4" s="18"/>
    </row>
    <row r="5" customFormat="false" ht="42" hidden="false" customHeight="true" outlineLevel="0" collapsed="false">
      <c r="A5" s="40"/>
      <c r="B5" s="40"/>
      <c r="C5" s="40"/>
      <c r="D5" s="18"/>
      <c r="E5" s="18"/>
      <c r="F5" s="18"/>
      <c r="G5" s="40"/>
      <c r="H5" s="40"/>
      <c r="I5" s="40"/>
      <c r="J5" s="18"/>
    </row>
    <row r="6" customFormat="false" ht="42" hidden="false" customHeight="true" outlineLevel="0" collapsed="false">
      <c r="A6" s="40"/>
      <c r="B6" s="40"/>
      <c r="C6" s="40"/>
      <c r="D6" s="18"/>
      <c r="E6" s="18"/>
      <c r="F6" s="18"/>
      <c r="G6" s="40"/>
      <c r="H6" s="40"/>
      <c r="I6" s="40"/>
      <c r="J6" s="18"/>
    </row>
    <row r="7" customFormat="false" ht="42" hidden="false" customHeight="true" outlineLevel="0" collapsed="false">
      <c r="A7" s="40"/>
      <c r="B7" s="40"/>
      <c r="C7" s="40"/>
      <c r="D7" s="18"/>
      <c r="E7" s="18"/>
      <c r="F7" s="18"/>
      <c r="G7" s="40"/>
      <c r="H7" s="40"/>
      <c r="I7" s="40"/>
      <c r="J7" s="18"/>
    </row>
    <row r="8" customFormat="false" ht="42" hidden="false" customHeight="true" outlineLevel="0" collapsed="false">
      <c r="A8" s="40"/>
      <c r="B8" s="40"/>
      <c r="C8" s="40"/>
      <c r="D8" s="18"/>
      <c r="E8" s="18"/>
      <c r="F8" s="18"/>
      <c r="G8" s="40"/>
      <c r="H8" s="40"/>
      <c r="I8" s="40"/>
      <c r="J8" s="18"/>
    </row>
    <row r="9" customFormat="false" ht="42" hidden="false" customHeight="true" outlineLevel="0" collapsed="false">
      <c r="A9" s="40"/>
      <c r="B9" s="40"/>
      <c r="C9" s="40"/>
      <c r="D9" s="18"/>
      <c r="E9" s="18"/>
      <c r="F9" s="18"/>
      <c r="G9" s="40"/>
      <c r="H9" s="40"/>
      <c r="I9" s="40"/>
      <c r="J9" s="18"/>
    </row>
    <row r="10" customFormat="false" ht="42" hidden="false" customHeight="true" outlineLevel="0" collapsed="false">
      <c r="A10" s="40"/>
      <c r="B10" s="40"/>
      <c r="C10" s="40"/>
      <c r="D10" s="18"/>
      <c r="E10" s="18"/>
      <c r="F10" s="18"/>
      <c r="G10" s="40"/>
      <c r="H10" s="40"/>
      <c r="I10" s="40"/>
      <c r="J10" s="18"/>
    </row>
    <row r="11" customFormat="false" ht="42" hidden="false" customHeight="true" outlineLevel="0" collapsed="false">
      <c r="A11" s="40"/>
      <c r="B11" s="40"/>
      <c r="C11" s="40"/>
      <c r="D11" s="18"/>
      <c r="E11" s="18"/>
      <c r="F11" s="18"/>
      <c r="G11" s="40"/>
      <c r="H11" s="40"/>
      <c r="I11" s="40"/>
      <c r="J11" s="18"/>
    </row>
    <row r="12" customFormat="false" ht="42" hidden="false" customHeight="true" outlineLevel="0" collapsed="false">
      <c r="A12" s="40"/>
      <c r="B12" s="40"/>
      <c r="C12" s="40"/>
      <c r="D12" s="18"/>
      <c r="E12" s="18"/>
      <c r="F12" s="18"/>
      <c r="G12" s="40"/>
      <c r="H12" s="40"/>
      <c r="I12" s="40"/>
      <c r="J12" s="18"/>
    </row>
    <row r="13" customFormat="false" ht="42" hidden="false" customHeight="true" outlineLevel="0" collapsed="false">
      <c r="A13" s="40"/>
      <c r="B13" s="40"/>
      <c r="C13" s="40"/>
      <c r="D13" s="18"/>
      <c r="E13" s="18"/>
      <c r="F13" s="18"/>
      <c r="G13" s="40"/>
      <c r="H13" s="40"/>
      <c r="I13" s="40"/>
      <c r="J13" s="18"/>
    </row>
    <row r="14" customFormat="false" ht="42" hidden="false" customHeight="true" outlineLevel="0" collapsed="false">
      <c r="A14" s="40"/>
      <c r="B14" s="40"/>
      <c r="C14" s="40"/>
      <c r="D14" s="18"/>
      <c r="E14" s="18"/>
      <c r="F14" s="18"/>
      <c r="G14" s="40"/>
      <c r="H14" s="40"/>
      <c r="I14" s="40"/>
      <c r="J14" s="18"/>
    </row>
    <row r="15" customFormat="false" ht="42" hidden="false" customHeight="true" outlineLevel="0" collapsed="false">
      <c r="A15" s="40"/>
      <c r="B15" s="40"/>
      <c r="C15" s="40"/>
      <c r="D15" s="18"/>
      <c r="E15" s="18"/>
      <c r="F15" s="18"/>
      <c r="G15" s="40"/>
      <c r="H15" s="40"/>
      <c r="I15" s="40"/>
      <c r="J15" s="18"/>
    </row>
    <row r="16" customFormat="false" ht="42" hidden="false" customHeight="true" outlineLevel="0" collapsed="false">
      <c r="A16" s="40"/>
      <c r="B16" s="40"/>
      <c r="C16" s="40"/>
      <c r="D16" s="18"/>
      <c r="E16" s="18"/>
      <c r="F16" s="18"/>
      <c r="G16" s="40"/>
      <c r="H16" s="40"/>
      <c r="I16" s="40"/>
      <c r="J16" s="18"/>
    </row>
    <row r="17" customFormat="false" ht="42" hidden="false" customHeight="true" outlineLevel="0" collapsed="false">
      <c r="A17" s="40"/>
      <c r="B17" s="40"/>
      <c r="C17" s="40"/>
      <c r="D17" s="18"/>
      <c r="E17" s="18"/>
      <c r="F17" s="18"/>
      <c r="G17" s="40"/>
      <c r="H17" s="40"/>
      <c r="I17" s="40"/>
      <c r="J17" s="18"/>
    </row>
    <row r="18" customFormat="false" ht="42" hidden="false" customHeight="true" outlineLevel="0" collapsed="false">
      <c r="A18" s="40"/>
      <c r="B18" s="40"/>
      <c r="C18" s="40"/>
      <c r="D18" s="18"/>
      <c r="E18" s="18"/>
      <c r="F18" s="18"/>
      <c r="G18" s="40"/>
      <c r="H18" s="40"/>
      <c r="I18" s="40"/>
      <c r="J18" s="18"/>
    </row>
    <row r="19" customFormat="false" ht="42" hidden="false" customHeight="true" outlineLevel="0" collapsed="false">
      <c r="A19" s="40"/>
      <c r="B19" s="40"/>
      <c r="C19" s="40"/>
      <c r="D19" s="18"/>
      <c r="E19" s="18"/>
      <c r="F19" s="18"/>
      <c r="G19" s="40"/>
      <c r="H19" s="40"/>
      <c r="I19" s="40"/>
      <c r="J19" s="18"/>
    </row>
    <row r="20" customFormat="false" ht="42" hidden="false" customHeight="true" outlineLevel="0" collapsed="false">
      <c r="A20" s="40"/>
      <c r="B20" s="40"/>
      <c r="C20" s="40"/>
      <c r="D20" s="18"/>
      <c r="E20" s="18"/>
      <c r="F20" s="18"/>
      <c r="G20" s="40"/>
      <c r="H20" s="40"/>
      <c r="I20" s="40"/>
      <c r="J20" s="18"/>
    </row>
    <row r="21" customFormat="false" ht="42" hidden="false" customHeight="true" outlineLevel="0" collapsed="false">
      <c r="A21" s="40"/>
      <c r="B21" s="40"/>
      <c r="C21" s="40"/>
      <c r="D21" s="18"/>
      <c r="E21" s="18"/>
      <c r="F21" s="18"/>
      <c r="G21" s="40"/>
      <c r="H21" s="40"/>
      <c r="I21" s="40"/>
      <c r="J21" s="18"/>
    </row>
    <row r="22" customFormat="false" ht="42" hidden="false" customHeight="true" outlineLevel="0" collapsed="false">
      <c r="A22" s="40"/>
      <c r="B22" s="40"/>
      <c r="C22" s="40"/>
      <c r="D22" s="18"/>
      <c r="E22" s="18"/>
      <c r="F22" s="18"/>
      <c r="G22" s="40"/>
      <c r="H22" s="40"/>
      <c r="I22" s="40"/>
      <c r="J22" s="18"/>
    </row>
    <row r="23" customFormat="false" ht="42" hidden="false" customHeight="true" outlineLevel="0" collapsed="false">
      <c r="A23" s="40"/>
      <c r="B23" s="40"/>
      <c r="C23" s="40"/>
      <c r="D23" s="18"/>
      <c r="E23" s="18"/>
      <c r="F23" s="18"/>
      <c r="G23" s="40"/>
      <c r="H23" s="40"/>
      <c r="I23" s="40"/>
      <c r="J23" s="18"/>
    </row>
    <row r="24" customFormat="false" ht="42" hidden="false" customHeight="true" outlineLevel="0" collapsed="false">
      <c r="A24" s="40"/>
      <c r="B24" s="40"/>
      <c r="C24" s="40"/>
      <c r="D24" s="18"/>
      <c r="E24" s="18"/>
      <c r="F24" s="18"/>
      <c r="G24" s="40"/>
      <c r="H24" s="40"/>
      <c r="I24" s="40"/>
      <c r="J24" s="18"/>
    </row>
    <row r="25" customFormat="false" ht="42" hidden="false" customHeight="true" outlineLevel="0" collapsed="false">
      <c r="A25" s="40"/>
      <c r="B25" s="40"/>
      <c r="C25" s="40"/>
      <c r="D25" s="18"/>
      <c r="E25" s="18"/>
      <c r="F25" s="18"/>
      <c r="G25" s="40"/>
      <c r="H25" s="40"/>
      <c r="I25" s="40"/>
      <c r="J25" s="18"/>
    </row>
    <row r="26" customFormat="false" ht="42" hidden="false" customHeight="true" outlineLevel="0" collapsed="false">
      <c r="A26" s="40"/>
      <c r="B26" s="40"/>
      <c r="C26" s="40"/>
      <c r="D26" s="18"/>
      <c r="E26" s="18"/>
      <c r="F26" s="18"/>
      <c r="G26" s="40"/>
      <c r="H26" s="40"/>
      <c r="I26" s="40"/>
      <c r="J26" s="18"/>
    </row>
    <row r="27" customFormat="false" ht="42" hidden="false" customHeight="true" outlineLevel="0" collapsed="false">
      <c r="A27" s="40"/>
      <c r="B27" s="40"/>
      <c r="C27" s="40"/>
      <c r="D27" s="18"/>
      <c r="E27" s="18"/>
      <c r="F27" s="18"/>
      <c r="G27" s="40"/>
      <c r="H27" s="40"/>
      <c r="I27" s="40"/>
      <c r="J27" s="18"/>
    </row>
    <row r="28" customFormat="false" ht="42" hidden="false" customHeight="true" outlineLevel="0" collapsed="false">
      <c r="A28" s="40"/>
      <c r="B28" s="40"/>
      <c r="C28" s="40"/>
      <c r="D28" s="18"/>
      <c r="E28" s="18"/>
      <c r="F28" s="18"/>
      <c r="G28" s="40"/>
      <c r="H28" s="40"/>
      <c r="I28" s="40"/>
      <c r="J28" s="18"/>
    </row>
    <row r="29" customFormat="false" ht="42" hidden="false" customHeight="true" outlineLevel="0" collapsed="false">
      <c r="A29" s="40"/>
      <c r="B29" s="40"/>
      <c r="C29" s="40"/>
      <c r="D29" s="18"/>
      <c r="E29" s="18"/>
      <c r="F29" s="18"/>
      <c r="G29" s="40"/>
      <c r="H29" s="40"/>
      <c r="I29" s="40"/>
      <c r="J29" s="18"/>
    </row>
    <row r="30" customFormat="false" ht="42" hidden="false" customHeight="true" outlineLevel="0" collapsed="false">
      <c r="A30" s="40"/>
      <c r="B30" s="40"/>
      <c r="C30" s="40"/>
      <c r="D30" s="18"/>
      <c r="E30" s="18"/>
      <c r="F30" s="18"/>
      <c r="G30" s="40"/>
      <c r="H30" s="40"/>
      <c r="I30" s="40"/>
      <c r="J30" s="18"/>
    </row>
    <row r="31" customFormat="false" ht="42" hidden="false" customHeight="true" outlineLevel="0" collapsed="false">
      <c r="A31" s="40"/>
      <c r="B31" s="40"/>
      <c r="C31" s="40"/>
      <c r="D31" s="18"/>
      <c r="E31" s="18"/>
      <c r="F31" s="18"/>
      <c r="G31" s="40"/>
      <c r="H31" s="40"/>
      <c r="I31" s="40"/>
      <c r="J31" s="18"/>
    </row>
    <row r="32" customFormat="false" ht="42" hidden="false" customHeight="true" outlineLevel="0" collapsed="false">
      <c r="A32" s="40"/>
      <c r="B32" s="40"/>
      <c r="C32" s="40"/>
      <c r="D32" s="18"/>
      <c r="E32" s="18"/>
      <c r="F32" s="18"/>
      <c r="G32" s="40"/>
      <c r="H32" s="40"/>
      <c r="I32" s="40"/>
      <c r="J32" s="18"/>
    </row>
    <row r="33" customFormat="false" ht="42" hidden="false" customHeight="true" outlineLevel="0" collapsed="false">
      <c r="A33" s="40"/>
      <c r="B33" s="40"/>
      <c r="C33" s="40"/>
      <c r="D33" s="18"/>
      <c r="E33" s="18"/>
      <c r="F33" s="18"/>
      <c r="G33" s="40"/>
      <c r="H33" s="40"/>
      <c r="I33" s="40"/>
      <c r="J33" s="18"/>
    </row>
    <row r="34" customFormat="false" ht="42" hidden="false" customHeight="true" outlineLevel="0" collapsed="false">
      <c r="A34" s="40"/>
      <c r="B34" s="40"/>
      <c r="C34" s="40"/>
      <c r="D34" s="18"/>
      <c r="E34" s="18"/>
      <c r="F34" s="18"/>
      <c r="G34" s="40"/>
      <c r="H34" s="40"/>
      <c r="I34" s="40"/>
      <c r="J34" s="18"/>
    </row>
    <row r="35" customFormat="false" ht="42" hidden="false" customHeight="true" outlineLevel="0" collapsed="false">
      <c r="A35" s="40"/>
      <c r="B35" s="40"/>
      <c r="C35" s="40"/>
      <c r="D35" s="18"/>
      <c r="E35" s="18"/>
      <c r="F35" s="18"/>
      <c r="G35" s="40"/>
      <c r="H35" s="40"/>
      <c r="I35" s="40"/>
      <c r="J35" s="18"/>
    </row>
    <row r="36" customFormat="false" ht="42" hidden="false" customHeight="true" outlineLevel="0" collapsed="false">
      <c r="A36" s="40"/>
      <c r="B36" s="40"/>
      <c r="C36" s="40"/>
      <c r="D36" s="18"/>
      <c r="E36" s="18"/>
      <c r="F36" s="18"/>
      <c r="G36" s="40"/>
      <c r="H36" s="40"/>
      <c r="I36" s="40"/>
      <c r="J36" s="18"/>
    </row>
    <row r="37" customFormat="false" ht="42" hidden="false" customHeight="true" outlineLevel="0" collapsed="false">
      <c r="A37" s="40"/>
      <c r="B37" s="40"/>
      <c r="C37" s="40"/>
      <c r="D37" s="18"/>
      <c r="E37" s="18"/>
      <c r="F37" s="18"/>
      <c r="G37" s="40"/>
      <c r="H37" s="40"/>
      <c r="I37" s="40"/>
      <c r="J37" s="18"/>
    </row>
    <row r="38" customFormat="false" ht="42" hidden="false" customHeight="true" outlineLevel="0" collapsed="false">
      <c r="A38" s="40"/>
      <c r="B38" s="40"/>
      <c r="C38" s="40"/>
      <c r="D38" s="18"/>
      <c r="E38" s="18"/>
      <c r="F38" s="18"/>
      <c r="G38" s="40"/>
      <c r="H38" s="40"/>
      <c r="I38" s="40"/>
      <c r="J38" s="18"/>
    </row>
    <row r="39" customFormat="false" ht="42" hidden="false" customHeight="true" outlineLevel="0" collapsed="false">
      <c r="A39" s="40"/>
      <c r="B39" s="40"/>
      <c r="C39" s="40"/>
      <c r="D39" s="18"/>
      <c r="E39" s="18"/>
      <c r="F39" s="18"/>
      <c r="G39" s="40"/>
      <c r="H39" s="40"/>
      <c r="I39" s="40"/>
      <c r="J39" s="18"/>
    </row>
    <row r="40" customFormat="false" ht="42" hidden="false" customHeight="true" outlineLevel="0" collapsed="false">
      <c r="A40" s="40"/>
      <c r="B40" s="40"/>
      <c r="C40" s="40"/>
      <c r="D40" s="18"/>
      <c r="E40" s="18"/>
      <c r="F40" s="18"/>
      <c r="G40" s="40"/>
      <c r="H40" s="40"/>
      <c r="I40" s="40"/>
      <c r="J40" s="18"/>
    </row>
    <row r="41" customFormat="false" ht="42" hidden="false" customHeight="true" outlineLevel="0" collapsed="false">
      <c r="A41" s="40"/>
      <c r="B41" s="40"/>
      <c r="C41" s="40"/>
      <c r="D41" s="18"/>
      <c r="E41" s="18"/>
      <c r="F41" s="18"/>
      <c r="G41" s="40"/>
      <c r="H41" s="40"/>
      <c r="I41" s="40"/>
      <c r="J41" s="18"/>
    </row>
    <row r="42" customFormat="false" ht="42" hidden="false" customHeight="true" outlineLevel="0" collapsed="false">
      <c r="A42" s="40"/>
      <c r="B42" s="40"/>
      <c r="C42" s="40"/>
      <c r="D42" s="18"/>
      <c r="E42" s="18"/>
      <c r="F42" s="18"/>
      <c r="G42" s="40"/>
      <c r="H42" s="40"/>
      <c r="I42" s="40"/>
      <c r="J42" s="18"/>
    </row>
    <row r="43" customFormat="false" ht="42" hidden="false" customHeight="true" outlineLevel="0" collapsed="false">
      <c r="A43" s="40"/>
      <c r="B43" s="40"/>
      <c r="C43" s="40"/>
      <c r="D43" s="18"/>
      <c r="E43" s="18"/>
      <c r="F43" s="18"/>
      <c r="G43" s="40"/>
      <c r="H43" s="40"/>
      <c r="I43" s="40"/>
      <c r="J43" s="18"/>
    </row>
  </sheetData>
  <autoFilter ref="A2:J43"/>
  <mergeCells count="1">
    <mergeCell ref="A1:J1"/>
  </mergeCells>
  <conditionalFormatting sqref="G4:G43">
    <cfRule type="cellIs" priority="2" operator="equal" aboveAverage="0" equalAverage="0" bottom="0" percent="0" rank="0" text="" dxfId="14">
      <formula>"치명 — 업무가 아예 안 된다"</formula>
    </cfRule>
  </conditionalFormatting>
  <conditionalFormatting sqref="I4:I43">
    <cfRule type="cellIs" priority="3" operator="equal" aboveAverage="0" equalAverage="0" bottom="0" percent="0" rank="0" text="" dxfId="15">
      <formula>"재확인 완료"</formula>
    </cfRule>
  </conditionalFormatting>
  <dataValidations count="3">
    <dataValidation allowBlank="true" errorStyle="stop" operator="between" showDropDown="false" showErrorMessage="false" showInputMessage="false" sqref="G3:G43" type="list">
      <formula1>"치명 — 업무가 아예 안 된다,중간 — 불편하지만 일은 된다,경미 — 보기에만 어색하다,개선 의견 — 오류는 아니다"</formula1>
      <formula2>0</formula2>
    </dataValidation>
    <dataValidation allowBlank="true" errorStyle="stop" operator="between" showDropDown="false" showErrorMessage="false" showInputMessage="false" sqref="I3:I43" type="list">
      <formula1>"접수,확인 중,수정 완료,재확인 완료,보류,결함 아님"</formula1>
      <formula2>0</formula2>
    </dataValidation>
    <dataValidation allowBlank="true" errorStyle="stop" operator="between" showDropDown="false" showErrorMessage="false" showInputMessage="false" sqref="B4:B43" type="list">
      <formula1>"류원준,장민경"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4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9" min="7" style="0" width="8"/>
    <col collapsed="false" customWidth="true" hidden="false" outlineLevel="0" max="10" min="10" style="0" width="9"/>
    <col collapsed="false" customWidth="true" hidden="false" outlineLevel="0" max="11" min="11" style="0" width="10"/>
  </cols>
  <sheetData>
    <row r="2" customFormat="false" ht="21.6" hidden="false" customHeight="true" outlineLevel="0" collapsed="false">
      <c r="B2" s="50" t="s">
        <v>527</v>
      </c>
      <c r="C2" s="50"/>
      <c r="D2" s="50"/>
      <c r="E2" s="50"/>
    </row>
    <row r="3" customFormat="false" ht="15" hidden="false" customHeight="true" outlineLevel="0" collapsed="false">
      <c r="B3" s="2" t="s">
        <v>528</v>
      </c>
      <c r="C3" s="2"/>
      <c r="D3" s="2"/>
      <c r="E3" s="2"/>
      <c r="F3" s="2"/>
    </row>
    <row r="5" customFormat="false" ht="25.5" hidden="false" customHeight="true" outlineLevel="0" collapsed="false">
      <c r="B5" s="8" t="s">
        <v>220</v>
      </c>
      <c r="C5" s="8" t="s">
        <v>221</v>
      </c>
      <c r="D5" s="8" t="s">
        <v>222</v>
      </c>
      <c r="E5" s="8" t="s">
        <v>529</v>
      </c>
      <c r="F5" s="8" t="s">
        <v>224</v>
      </c>
      <c r="G5" s="9" t="s">
        <v>34</v>
      </c>
      <c r="H5" s="9" t="s">
        <v>35</v>
      </c>
      <c r="I5" s="8" t="s">
        <v>530</v>
      </c>
      <c r="J5" s="8" t="s">
        <v>36</v>
      </c>
      <c r="K5" s="8" t="s">
        <v>531</v>
      </c>
    </row>
    <row r="6" customFormat="false" ht="15" hidden="false" customHeight="false" outlineLevel="0" collapsed="false">
      <c r="B6" s="16" t="s">
        <v>229</v>
      </c>
      <c r="C6" s="37" t="s">
        <v>230</v>
      </c>
      <c r="D6" s="37" t="s">
        <v>231</v>
      </c>
      <c r="E6" s="15" t="n">
        <v>10</v>
      </c>
      <c r="F6" s="24" t="n">
        <f aca="false">COUNTIFS(확인항목!$B:$B,$B6,확인항목!$D:$D,$D6)</f>
        <v>54</v>
      </c>
      <c r="G6" s="24" t="n">
        <f aca="false">COUNTIFS(확인항목!$B:$B,$B6,확인항목!$D:$D,$D6,확인항목!$G:$G,"PASS")</f>
        <v>0</v>
      </c>
      <c r="H6" s="24" t="n">
        <f aca="false">COUNTIFS(확인항목!$B:$B,$B6,확인항목!$D:$D,$D6,확인항목!$G:$G,"FAIL")</f>
        <v>0</v>
      </c>
      <c r="I6" s="24" t="n">
        <f aca="false">COUNTIFS(확인항목!$B:$B,$B6,확인항목!$D:$D,$D6,확인항목!$G:$G,"보류")</f>
        <v>0</v>
      </c>
      <c r="J6" s="24" t="n">
        <f aca="false">COUNTIFS(확인항목!$B:$B,$B6,확인항목!$D:$D,$D6,확인항목!$G:$G,"")</f>
        <v>54</v>
      </c>
      <c r="K6" s="51" t="n">
        <f aca="false">IF($F6=0,0,($F6-$J6)/$F6)</f>
        <v>0</v>
      </c>
    </row>
    <row r="7" customFormat="false" ht="15" hidden="false" customHeight="false" outlineLevel="0" collapsed="false">
      <c r="B7" s="16" t="s">
        <v>229</v>
      </c>
      <c r="C7" s="37" t="s">
        <v>230</v>
      </c>
      <c r="D7" s="52" t="s">
        <v>450</v>
      </c>
      <c r="E7" s="15" t="n">
        <v>3</v>
      </c>
      <c r="F7" s="24" t="n">
        <f aca="false">COUNTIFS(확인항목!$B:$B,$B7,확인항목!$D:$D,$D7)</f>
        <v>22</v>
      </c>
      <c r="G7" s="24" t="n">
        <f aca="false">COUNTIFS(확인항목!$B:$B,$B7,확인항목!$D:$D,$D7,확인항목!$G:$G,"PASS")</f>
        <v>0</v>
      </c>
      <c r="H7" s="24" t="n">
        <f aca="false">COUNTIFS(확인항목!$B:$B,$B7,확인항목!$D:$D,$D7,확인항목!$G:$G,"FAIL")</f>
        <v>0</v>
      </c>
      <c r="I7" s="24" t="n">
        <f aca="false">COUNTIFS(확인항목!$B:$B,$B7,확인항목!$D:$D,$D7,확인항목!$G:$G,"보류")</f>
        <v>0</v>
      </c>
      <c r="J7" s="24" t="n">
        <f aca="false">COUNTIFS(확인항목!$B:$B,$B7,확인항목!$D:$D,$D7,확인항목!$G:$G,"")</f>
        <v>22</v>
      </c>
      <c r="K7" s="51" t="n">
        <f aca="false">IF($F7=0,0,($F7-$J7)/$F7)</f>
        <v>0</v>
      </c>
    </row>
    <row r="8" customFormat="false" ht="15" hidden="false" customHeight="false" outlineLevel="0" collapsed="false">
      <c r="B8" s="16" t="s">
        <v>362</v>
      </c>
      <c r="C8" s="37" t="s">
        <v>363</v>
      </c>
      <c r="D8" s="37" t="s">
        <v>231</v>
      </c>
      <c r="E8" s="15" t="n">
        <v>10</v>
      </c>
      <c r="F8" s="24" t="n">
        <f aca="false">COUNTIFS(확인항목!$B:$B,$B8,확인항목!$D:$D,$D8)</f>
        <v>57</v>
      </c>
      <c r="G8" s="24" t="n">
        <f aca="false">COUNTIFS(확인항목!$B:$B,$B8,확인항목!$D:$D,$D8,확인항목!$G:$G,"PASS")</f>
        <v>0</v>
      </c>
      <c r="H8" s="24" t="n">
        <f aca="false">COUNTIFS(확인항목!$B:$B,$B8,확인항목!$D:$D,$D8,확인항목!$G:$G,"FAIL")</f>
        <v>0</v>
      </c>
      <c r="I8" s="24" t="n">
        <f aca="false">COUNTIFS(확인항목!$B:$B,$B8,확인항목!$D:$D,$D8,확인항목!$G:$G,"보류")</f>
        <v>0</v>
      </c>
      <c r="J8" s="24" t="n">
        <f aca="false">COUNTIFS(확인항목!$B:$B,$B8,확인항목!$D:$D,$D8,확인항목!$G:$G,"")</f>
        <v>57</v>
      </c>
      <c r="K8" s="51" t="n">
        <f aca="false">IF($F8=0,0,($F8-$J8)/$F8)</f>
        <v>0</v>
      </c>
    </row>
    <row r="9" customFormat="false" ht="15" hidden="false" customHeight="false" outlineLevel="0" collapsed="false">
      <c r="B9" s="16" t="s">
        <v>362</v>
      </c>
      <c r="C9" s="37" t="s">
        <v>363</v>
      </c>
      <c r="D9" s="52" t="s">
        <v>450</v>
      </c>
      <c r="E9" s="15" t="n">
        <v>3</v>
      </c>
      <c r="F9" s="24" t="n">
        <f aca="false">COUNTIFS(확인항목!$B:$B,$B9,확인항목!$D:$D,$D9)</f>
        <v>22</v>
      </c>
      <c r="G9" s="24" t="n">
        <f aca="false">COUNTIFS(확인항목!$B:$B,$B9,확인항목!$D:$D,$D9,확인항목!$G:$G,"PASS")</f>
        <v>0</v>
      </c>
      <c r="H9" s="24" t="n">
        <f aca="false">COUNTIFS(확인항목!$B:$B,$B9,확인항목!$D:$D,$D9,확인항목!$G:$G,"FAIL")</f>
        <v>0</v>
      </c>
      <c r="I9" s="24" t="n">
        <f aca="false">COUNTIFS(확인항목!$B:$B,$B9,확인항목!$D:$D,$D9,확인항목!$G:$G,"보류")</f>
        <v>0</v>
      </c>
      <c r="J9" s="24" t="n">
        <f aca="false">COUNTIFS(확인항목!$B:$B,$B9,확인항목!$D:$D,$D9,확인항목!$G:$G,"")</f>
        <v>22</v>
      </c>
      <c r="K9" s="51" t="n">
        <f aca="false">IF($F9=0,0,($F9-$J9)/$F9)</f>
        <v>0</v>
      </c>
    </row>
    <row r="10" customFormat="false" ht="15" hidden="false" customHeight="false" outlineLevel="0" collapsed="false">
      <c r="B10" s="53" t="s">
        <v>532</v>
      </c>
      <c r="C10" s="54"/>
      <c r="D10" s="54"/>
      <c r="E10" s="53" t="n">
        <f aca="false">SUM(E6:E9)</f>
        <v>26</v>
      </c>
      <c r="F10" s="53" t="n">
        <f aca="false">SUM(F6:F9)</f>
        <v>155</v>
      </c>
      <c r="G10" s="53" t="n">
        <f aca="false">SUM(G6:G9)</f>
        <v>0</v>
      </c>
      <c r="H10" s="55" t="n">
        <f aca="false">SUM(H6:H9)</f>
        <v>0</v>
      </c>
      <c r="I10" s="53" t="n">
        <f aca="false">SUM(I6:I9)</f>
        <v>0</v>
      </c>
      <c r="J10" s="53" t="n">
        <f aca="false">SUM(J6:J9)</f>
        <v>155</v>
      </c>
      <c r="K10" s="56" t="n">
        <f aca="false">IF($F10=0,0,($F10-$J10)/$F10)</f>
        <v>0</v>
      </c>
    </row>
    <row r="12" customFormat="false" ht="17.15" hidden="false" customHeight="true" outlineLevel="0" collapsed="false">
      <c r="B12" s="57" t="s">
        <v>533</v>
      </c>
      <c r="C12" s="57"/>
      <c r="D12" s="57"/>
      <c r="E12" s="57"/>
      <c r="F12" s="57"/>
    </row>
    <row r="13" customFormat="false" ht="15" hidden="false" customHeight="false" outlineLevel="0" collapsed="false">
      <c r="B13" s="8" t="s">
        <v>534</v>
      </c>
      <c r="C13" s="9" t="s">
        <v>34</v>
      </c>
      <c r="D13" s="9" t="s">
        <v>35</v>
      </c>
      <c r="E13" s="8" t="s">
        <v>535</v>
      </c>
      <c r="F13" s="8" t="s">
        <v>536</v>
      </c>
    </row>
    <row r="14" customFormat="false" ht="15" hidden="false" customHeight="false" outlineLevel="0" collapsed="false">
      <c r="B14" s="58" t="s">
        <v>537</v>
      </c>
      <c r="C14" s="24" t="n">
        <f aca="false">COUNTIF(기능_강원심층수!$L$3:$L$12,"PASS")</f>
        <v>0</v>
      </c>
      <c r="D14" s="24" t="n">
        <f aca="false">COUNTIF(기능_강원심층수!$L$3:$L$12,"FAIL")</f>
        <v>0</v>
      </c>
      <c r="E14" s="24" t="n">
        <f aca="false">COUNTIF(기능_강원심층수!$L$3:$L$12,"진행중")</f>
        <v>0</v>
      </c>
      <c r="F14" s="24" t="n">
        <f aca="false">COUNTIF(기능_강원심층수!$L$3:$L$12,"미착수")</f>
        <v>10</v>
      </c>
    </row>
    <row r="15" customFormat="false" ht="15" hidden="false" customHeight="false" outlineLevel="0" collapsed="false">
      <c r="B15" s="58" t="s">
        <v>538</v>
      </c>
      <c r="C15" s="24" t="n">
        <f aca="false">COUNTIF('기능_대교D&amp;S'!$L$3:$L$12,"PASS")</f>
        <v>0</v>
      </c>
      <c r="D15" s="24" t="n">
        <f aca="false">COUNTIF('기능_대교D&amp;S'!$L$3:$L$12,"FAIL")</f>
        <v>0</v>
      </c>
      <c r="E15" s="24" t="n">
        <f aca="false">COUNTIF('기능_대교D&amp;S'!$L$3:$L$12,"진행중")</f>
        <v>0</v>
      </c>
      <c r="F15" s="24" t="n">
        <f aca="false">COUNTIF('기능_대교D&amp;S'!$L$3:$L$12,"미착수")</f>
        <v>10</v>
      </c>
    </row>
    <row r="16" customFormat="false" ht="15" hidden="false" customHeight="false" outlineLevel="0" collapsed="false">
      <c r="B16" s="58" t="s">
        <v>539</v>
      </c>
      <c r="C16" s="24" t="n">
        <f aca="false">COUNTIF(업무흐름_전략수립!$L$3:$L$10,"PASS")</f>
        <v>0</v>
      </c>
      <c r="D16" s="24" t="n">
        <f aca="false">COUNTIF(업무흐름_전략수립!$L$3:$L$10,"FAIL")</f>
        <v>0</v>
      </c>
      <c r="E16" s="24" t="n">
        <f aca="false">COUNTIF(업무흐름_전략수립!$L$3:$L$10,"진행중")</f>
        <v>0</v>
      </c>
      <c r="F16" s="24" t="n">
        <f aca="false">COUNTIF(업무흐름_전략수립!$L$3:$L$10,"미착수")</f>
        <v>6</v>
      </c>
    </row>
    <row r="18" customFormat="false" ht="17.15" hidden="false" customHeight="true" outlineLevel="0" collapsed="false">
      <c r="B18" s="57" t="s">
        <v>540</v>
      </c>
      <c r="C18" s="57"/>
      <c r="D18" s="57"/>
      <c r="E18" s="57"/>
      <c r="F18" s="57"/>
    </row>
    <row r="19" customFormat="false" ht="15" hidden="false" customHeight="false" outlineLevel="0" collapsed="false">
      <c r="B19" s="8" t="s">
        <v>222</v>
      </c>
      <c r="C19" s="8" t="s">
        <v>541</v>
      </c>
    </row>
    <row r="20" customFormat="false" ht="26.85" hidden="false" customHeight="false" outlineLevel="0" collapsed="false">
      <c r="B20" s="58" t="s">
        <v>542</v>
      </c>
      <c r="C20" s="19" t="n">
        <f aca="false">COUNTIF(결함목록!$G$4:$G$43,"치명 — 업무가 아예 안 된다")</f>
        <v>0</v>
      </c>
    </row>
    <row r="21" customFormat="false" ht="26.85" hidden="false" customHeight="false" outlineLevel="0" collapsed="false">
      <c r="B21" s="58" t="s">
        <v>524</v>
      </c>
      <c r="C21" s="19" t="n">
        <f aca="false">COUNTIF(결함목록!$G$4:$G$43,"중간 — 불편하지만 일은 된다")</f>
        <v>0</v>
      </c>
    </row>
    <row r="22" customFormat="false" ht="26.85" hidden="false" customHeight="false" outlineLevel="0" collapsed="false">
      <c r="B22" s="58" t="s">
        <v>543</v>
      </c>
      <c r="C22" s="19" t="n">
        <f aca="false">COUNTIF(결함목록!$G$4:$G$43,"경미 — 보기에만 어색하다")</f>
        <v>0</v>
      </c>
    </row>
    <row r="23" customFormat="false" ht="26.85" hidden="false" customHeight="false" outlineLevel="0" collapsed="false">
      <c r="B23" s="58" t="s">
        <v>544</v>
      </c>
      <c r="C23" s="19" t="n">
        <f aca="false">COUNTIF(결함목록!$G$4:$G$43,"개선 의견 — 오류는 아니다")</f>
        <v>0</v>
      </c>
    </row>
    <row r="24" customFormat="false" ht="26.85" hidden="false" customHeight="false" outlineLevel="0" collapsed="false">
      <c r="B24" s="58" t="s">
        <v>545</v>
      </c>
      <c r="C24" s="19" t="n">
        <f aca="false">COUNTA(결함목록!$A$4:$A$43)-COUNTIF(결함목록!$I$4:$I$43,"재확인 완료")-COUNTIF(결함목록!$I$4:$I$43,"결함 아님")</f>
        <v>0</v>
      </c>
    </row>
  </sheetData>
  <mergeCells count="4">
    <mergeCell ref="B2:E2"/>
    <mergeCell ref="B3:F3"/>
    <mergeCell ref="B12:F12"/>
    <mergeCell ref="B18:F18"/>
  </mergeCells>
  <conditionalFormatting sqref="H6:H10">
    <cfRule type="cellIs" priority="2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66"/>
  </cols>
  <sheetData>
    <row r="2" customFormat="false" ht="21.6" hidden="false" customHeight="true" outlineLevel="0" collapsed="false">
      <c r="B2" s="50" t="s">
        <v>546</v>
      </c>
      <c r="C2" s="50"/>
      <c r="D2" s="50"/>
    </row>
    <row r="3" customFormat="false" ht="31.5" hidden="false" customHeight="true" outlineLevel="0" collapsed="false">
      <c r="B3" s="2" t="s">
        <v>547</v>
      </c>
      <c r="C3" s="2"/>
      <c r="D3" s="2"/>
    </row>
    <row r="5" customFormat="false" ht="17.15" hidden="false" customHeight="true" outlineLevel="0" collapsed="false">
      <c r="B5" s="32" t="s">
        <v>548</v>
      </c>
      <c r="C5" s="32"/>
      <c r="D5" s="32"/>
    </row>
    <row r="6" customFormat="false" ht="15" hidden="false" customHeight="false" outlineLevel="0" collapsed="false">
      <c r="B6" s="8" t="s">
        <v>549</v>
      </c>
      <c r="C6" s="8" t="s">
        <v>550</v>
      </c>
      <c r="D6" s="8" t="s">
        <v>551</v>
      </c>
    </row>
    <row r="7" customFormat="false" ht="26.85" hidden="false" customHeight="false" outlineLevel="0" collapsed="false">
      <c r="B7" s="58" t="s">
        <v>552</v>
      </c>
      <c r="C7" s="59" t="n">
        <v>11</v>
      </c>
      <c r="D7" s="13" t="s">
        <v>553</v>
      </c>
    </row>
    <row r="8" customFormat="false" ht="15" hidden="false" customHeight="false" outlineLevel="0" collapsed="false">
      <c r="B8" s="58" t="s">
        <v>554</v>
      </c>
      <c r="C8" s="59" t="n">
        <v>10</v>
      </c>
      <c r="D8" s="28" t="s">
        <v>555</v>
      </c>
    </row>
    <row r="9" customFormat="false" ht="15" hidden="false" customHeight="false" outlineLevel="0" collapsed="false">
      <c r="B9" s="58" t="s">
        <v>556</v>
      </c>
      <c r="C9" s="59" t="n">
        <v>9</v>
      </c>
      <c r="D9" s="13" t="s">
        <v>557</v>
      </c>
    </row>
    <row r="10" customFormat="false" ht="15" hidden="false" customHeight="false" outlineLevel="0" collapsed="false">
      <c r="B10" s="58" t="s">
        <v>558</v>
      </c>
      <c r="C10" s="59" t="n">
        <v>22</v>
      </c>
      <c r="D10" s="13" t="s">
        <v>559</v>
      </c>
    </row>
    <row r="11" customFormat="false" ht="15" hidden="false" customHeight="false" outlineLevel="0" collapsed="false">
      <c r="B11" s="58" t="s">
        <v>560</v>
      </c>
      <c r="C11" s="59" t="n">
        <v>11</v>
      </c>
      <c r="D11" s="13" t="s">
        <v>561</v>
      </c>
    </row>
    <row r="12" customFormat="false" ht="15" hidden="false" customHeight="false" outlineLevel="0" collapsed="false">
      <c r="B12" s="58" t="s">
        <v>562</v>
      </c>
      <c r="C12" s="59" t="n">
        <v>9</v>
      </c>
      <c r="D12" s="13" t="s">
        <v>563</v>
      </c>
    </row>
    <row r="13" customFormat="false" ht="15" hidden="false" customHeight="false" outlineLevel="0" collapsed="false">
      <c r="B13" s="58" t="s">
        <v>564</v>
      </c>
      <c r="C13" s="59" t="n">
        <v>16</v>
      </c>
      <c r="D13" s="28" t="s">
        <v>565</v>
      </c>
    </row>
    <row r="14" customFormat="false" ht="15" hidden="false" customHeight="false" outlineLevel="0" collapsed="false">
      <c r="B14" s="58" t="s">
        <v>566</v>
      </c>
      <c r="C14" s="59" t="n">
        <v>6</v>
      </c>
      <c r="D14" s="13" t="s">
        <v>567</v>
      </c>
    </row>
    <row r="15" customFormat="false" ht="15" hidden="false" customHeight="false" outlineLevel="0" collapsed="false">
      <c r="B15" s="58" t="s">
        <v>568</v>
      </c>
      <c r="C15" s="59" t="n">
        <v>7</v>
      </c>
      <c r="D15" s="13" t="s">
        <v>569</v>
      </c>
    </row>
    <row r="16" customFormat="false" ht="15" hidden="false" customHeight="false" outlineLevel="0" collapsed="false">
      <c r="B16" s="58" t="s">
        <v>570</v>
      </c>
      <c r="C16" s="59" t="n">
        <v>4</v>
      </c>
      <c r="D16" s="13" t="s">
        <v>571</v>
      </c>
    </row>
    <row r="17" customFormat="false" ht="15" hidden="false" customHeight="false" outlineLevel="0" collapsed="false">
      <c r="B17" s="3" t="s">
        <v>532</v>
      </c>
      <c r="C17" s="53" t="n">
        <f aca="false">SUM(C7:C16)</f>
        <v>105</v>
      </c>
      <c r="D17" s="60" t="s">
        <v>572</v>
      </c>
    </row>
    <row r="19" customFormat="false" ht="17.15" hidden="false" customHeight="true" outlineLevel="0" collapsed="false">
      <c r="B19" s="32" t="s">
        <v>573</v>
      </c>
      <c r="C19" s="32"/>
      <c r="D19" s="32"/>
    </row>
    <row r="20" customFormat="false" ht="15" hidden="false" customHeight="false" outlineLevel="0" collapsed="false">
      <c r="B20" s="8" t="s">
        <v>549</v>
      </c>
      <c r="C20" s="8" t="s">
        <v>574</v>
      </c>
      <c r="D20" s="8" t="s">
        <v>551</v>
      </c>
    </row>
    <row r="21" customFormat="false" ht="15" hidden="false" customHeight="false" outlineLevel="0" collapsed="false">
      <c r="B21" s="58" t="s">
        <v>575</v>
      </c>
      <c r="C21" s="61" t="s">
        <v>550</v>
      </c>
      <c r="D21" s="28" t="s">
        <v>576</v>
      </c>
    </row>
    <row r="22" customFormat="false" ht="15" hidden="false" customHeight="false" outlineLevel="0" collapsed="false">
      <c r="B22" s="58" t="s">
        <v>577</v>
      </c>
      <c r="C22" s="61" t="s">
        <v>550</v>
      </c>
      <c r="D22" s="28" t="s">
        <v>578</v>
      </c>
    </row>
    <row r="23" customFormat="false" ht="15" hidden="false" customHeight="false" outlineLevel="0" collapsed="false">
      <c r="B23" s="58" t="s">
        <v>579</v>
      </c>
      <c r="C23" s="61" t="s">
        <v>550</v>
      </c>
      <c r="D23" s="13" t="s">
        <v>580</v>
      </c>
    </row>
    <row r="24" customFormat="false" ht="15" hidden="false" customHeight="false" outlineLevel="0" collapsed="false">
      <c r="B24" s="58" t="s">
        <v>581</v>
      </c>
      <c r="C24" s="61" t="s">
        <v>550</v>
      </c>
      <c r="D24" s="13" t="s">
        <v>582</v>
      </c>
    </row>
    <row r="25" customFormat="false" ht="15" hidden="false" customHeight="false" outlineLevel="0" collapsed="false">
      <c r="B25" s="58" t="s">
        <v>583</v>
      </c>
      <c r="C25" s="61" t="s">
        <v>550</v>
      </c>
      <c r="D25" s="13" t="s">
        <v>584</v>
      </c>
    </row>
    <row r="26" customFormat="false" ht="15" hidden="false" customHeight="false" outlineLevel="0" collapsed="false">
      <c r="B26" s="58" t="s">
        <v>585</v>
      </c>
      <c r="C26" s="61" t="s">
        <v>550</v>
      </c>
      <c r="D26" s="13" t="s">
        <v>586</v>
      </c>
    </row>
    <row r="27" customFormat="false" ht="15" hidden="false" customHeight="false" outlineLevel="0" collapsed="false">
      <c r="B27" s="58" t="s">
        <v>587</v>
      </c>
      <c r="C27" s="61" t="s">
        <v>550</v>
      </c>
      <c r="D27" s="13" t="s">
        <v>588</v>
      </c>
    </row>
    <row r="28" customFormat="false" ht="15" hidden="false" customHeight="false" outlineLevel="0" collapsed="false">
      <c r="B28" s="62" t="s">
        <v>589</v>
      </c>
      <c r="C28" s="61" t="s">
        <v>550</v>
      </c>
      <c r="D28" s="13" t="s">
        <v>590</v>
      </c>
    </row>
    <row r="29" customFormat="false" ht="15" hidden="false" customHeight="false" outlineLevel="0" collapsed="false">
      <c r="B29" s="3" t="s">
        <v>532</v>
      </c>
      <c r="C29" s="63" t="s">
        <v>591</v>
      </c>
      <c r="D29" s="60" t="s">
        <v>592</v>
      </c>
    </row>
    <row r="31" customFormat="false" ht="17.15" hidden="false" customHeight="true" outlineLevel="0" collapsed="false">
      <c r="B31" s="32" t="s">
        <v>593</v>
      </c>
      <c r="C31" s="32"/>
      <c r="D31" s="32"/>
    </row>
    <row r="32" customFormat="false" ht="33.75" hidden="false" customHeight="true" outlineLevel="0" collapsed="false">
      <c r="B32" s="64" t="s">
        <v>594</v>
      </c>
      <c r="C32" s="15" t="s">
        <v>595</v>
      </c>
      <c r="D32" s="11" t="s">
        <v>596</v>
      </c>
    </row>
  </sheetData>
  <mergeCells count="5">
    <mergeCell ref="B2:D2"/>
    <mergeCell ref="B3:D3"/>
    <mergeCell ref="B5:D5"/>
    <mergeCell ref="B19:D19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2026-10-29T02:35:42Z</dcterms:created>
  <dc:creator>openpyxl</dc:creator>
  <dc:description/>
  <dc:language>en-US</dc:language>
  <cp:lastModifiedBy/>
  <dcterms:modified xsi:type="dcterms:W3CDTF">2026-10-29T02:35:42Z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